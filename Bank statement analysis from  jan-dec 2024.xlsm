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7.FIN\"/>
    </mc:Choice>
  </mc:AlternateContent>
  <xr:revisionPtr revIDLastSave="0" documentId="13_ncr:1_{D9A0DFFC-57C9-4294-A5C9-3CEC4DA47EA5}" xr6:coauthVersionLast="36" xr6:coauthVersionMax="36" xr10:uidLastSave="{00000000-0000-0000-0000-000000000000}"/>
  <bookViews>
    <workbookView xWindow="0" yWindow="0" windowWidth="20490" windowHeight="7095" xr2:uid="{74D67A3D-0D56-417A-8A65-7C4BC5BAE77D}"/>
  </bookViews>
  <sheets>
    <sheet name="Expendo" sheetId="9" r:id="rId1"/>
    <sheet name="Income" sheetId="35" r:id="rId2"/>
    <sheet name="Tally" sheetId="46" r:id="rId3"/>
    <sheet name="ExpendoMONTHLY" sheetId="44" r:id="rId4"/>
    <sheet name="IncomeMONTHLY" sheetId="49" r:id="rId5"/>
    <sheet name="1jan" sheetId="23" r:id="rId6"/>
    <sheet name="2feb" sheetId="24" r:id="rId7"/>
    <sheet name="3mar" sheetId="25" r:id="rId8"/>
    <sheet name="4apr" sheetId="26" r:id="rId9"/>
    <sheet name="5may" sheetId="27" r:id="rId10"/>
    <sheet name="6jun" sheetId="28" r:id="rId11"/>
    <sheet name="7jul" sheetId="29" r:id="rId12"/>
    <sheet name="8aug" sheetId="30" r:id="rId13"/>
    <sheet name="9sep" sheetId="31" r:id="rId14"/>
    <sheet name="10oct" sheetId="32" r:id="rId15"/>
    <sheet name="11nov" sheetId="33" r:id="rId16"/>
    <sheet name="12dec" sheetId="34" r:id="rId17"/>
  </sheets>
  <definedNames>
    <definedName name="_xlnm._FilterDatabase" localSheetId="14" hidden="1">'10oct'!$A$1:$D$13</definedName>
    <definedName name="_xlnm._FilterDatabase" localSheetId="15" hidden="1">'11nov'!$A$1:$D$1</definedName>
    <definedName name="_xlnm._FilterDatabase" localSheetId="16" hidden="1">'12dec'!$A$1:$D$1</definedName>
    <definedName name="_xlnm._FilterDatabase" localSheetId="5" hidden="1">'1jan'!$A$1:$D$13</definedName>
    <definedName name="_xlnm._FilterDatabase" localSheetId="6" hidden="1">'2feb'!$A$2:$D$2</definedName>
    <definedName name="_xlnm._FilterDatabase" localSheetId="7" hidden="1">'3mar'!$A$1:$D$1</definedName>
    <definedName name="_xlnm._FilterDatabase" localSheetId="8" hidden="1">'4apr'!$A$1:$D$1</definedName>
    <definedName name="_xlnm._FilterDatabase" localSheetId="9" hidden="1">'5may'!$A$1:$D$1</definedName>
    <definedName name="_xlnm._FilterDatabase" localSheetId="10" hidden="1">'6jun'!$A$1:$D$23</definedName>
    <definedName name="_xlnm._FilterDatabase" localSheetId="11" hidden="1">'7jul'!$A$1:$E$13</definedName>
    <definedName name="_xlnm._FilterDatabase" localSheetId="12" hidden="1">'8aug'!$A$1:$D$1</definedName>
    <definedName name="_xlnm._FilterDatabase" localSheetId="13" hidden="1">'9sep'!$A$1:$G$20</definedName>
    <definedName name="_xlnm._FilterDatabase" localSheetId="0" hidden="1">Expendo!#REF!</definedName>
    <definedName name="_xlnm.Criteria" localSheetId="5">'1jan'!#REF!</definedName>
    <definedName name="_xlnm.Extract" localSheetId="5">'1jan'!#REF!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49" l="1"/>
  <c r="J11" i="46" s="1"/>
  <c r="I2" i="9" l="1"/>
  <c r="I3" i="9"/>
  <c r="I4" i="9"/>
  <c r="I5" i="9"/>
  <c r="I6" i="9"/>
  <c r="I7" i="9"/>
  <c r="I8" i="9"/>
  <c r="I9" i="9"/>
  <c r="I10" i="9"/>
  <c r="I12" i="9"/>
  <c r="I13" i="9"/>
  <c r="B30" i="46"/>
  <c r="B29" i="46"/>
  <c r="B27" i="46"/>
  <c r="B26" i="46"/>
  <c r="B25" i="46"/>
  <c r="B24" i="46"/>
  <c r="B23" i="46"/>
  <c r="B22" i="46"/>
  <c r="B21" i="46"/>
  <c r="B20" i="46"/>
  <c r="B19" i="46"/>
  <c r="B4" i="46"/>
  <c r="B5" i="46"/>
  <c r="B3" i="46"/>
  <c r="B14" i="46"/>
  <c r="B13" i="46"/>
  <c r="B11" i="46"/>
  <c r="B10" i="46"/>
  <c r="B9" i="46"/>
  <c r="B8" i="46"/>
  <c r="B7" i="46"/>
  <c r="B6" i="46"/>
  <c r="I11" i="9" l="1"/>
  <c r="I15" i="9" s="1"/>
  <c r="B12" i="46" l="1"/>
  <c r="B28" i="46"/>
  <c r="L2" i="9" l="1"/>
  <c r="M2" i="9"/>
  <c r="N2" i="9"/>
  <c r="O2" i="9"/>
  <c r="P2" i="9"/>
  <c r="L3" i="9"/>
  <c r="M3" i="9"/>
  <c r="N3" i="9"/>
  <c r="O3" i="9"/>
  <c r="P3" i="9"/>
  <c r="L4" i="9"/>
  <c r="M4" i="9"/>
  <c r="N4" i="9"/>
  <c r="O4" i="9"/>
  <c r="P4" i="9"/>
  <c r="L5" i="9"/>
  <c r="M5" i="9"/>
  <c r="N5" i="9"/>
  <c r="O5" i="9"/>
  <c r="P5" i="9"/>
  <c r="L6" i="9"/>
  <c r="M6" i="9"/>
  <c r="N6" i="9"/>
  <c r="O6" i="9"/>
  <c r="P6" i="9"/>
  <c r="L7" i="9"/>
  <c r="M7" i="9"/>
  <c r="N7" i="9"/>
  <c r="O7" i="9"/>
  <c r="P7" i="9"/>
  <c r="L8" i="9"/>
  <c r="M8" i="9"/>
  <c r="N8" i="9"/>
  <c r="O8" i="9"/>
  <c r="P8" i="9"/>
  <c r="L9" i="9"/>
  <c r="M9" i="9"/>
  <c r="N9" i="9"/>
  <c r="O9" i="9"/>
  <c r="P9" i="9"/>
  <c r="L10" i="9"/>
  <c r="M10" i="9"/>
  <c r="N10" i="9"/>
  <c r="O10" i="9"/>
  <c r="P10" i="9"/>
  <c r="L11" i="9"/>
  <c r="M11" i="9"/>
  <c r="N11" i="9"/>
  <c r="O11" i="9"/>
  <c r="P11" i="9"/>
  <c r="L12" i="9"/>
  <c r="M12" i="9"/>
  <c r="N12" i="9"/>
  <c r="O12" i="9"/>
  <c r="P12" i="9"/>
  <c r="L13" i="9"/>
  <c r="M13" i="9"/>
  <c r="N13" i="9"/>
  <c r="O13" i="9"/>
  <c r="P13" i="9"/>
  <c r="B2" i="9"/>
  <c r="C2" i="9"/>
  <c r="D2" i="9"/>
  <c r="E2" i="9"/>
  <c r="F2" i="9"/>
  <c r="G2" i="9"/>
  <c r="H2" i="9"/>
  <c r="J2" i="9"/>
  <c r="K2" i="9"/>
  <c r="B3" i="9"/>
  <c r="C3" i="9"/>
  <c r="D3" i="9"/>
  <c r="E3" i="9"/>
  <c r="F3" i="9"/>
  <c r="G3" i="9"/>
  <c r="H3" i="9"/>
  <c r="J3" i="9"/>
  <c r="K3" i="9"/>
  <c r="B4" i="9"/>
  <c r="C4" i="9"/>
  <c r="D4" i="9"/>
  <c r="E4" i="9"/>
  <c r="F4" i="9"/>
  <c r="G4" i="9"/>
  <c r="H4" i="9"/>
  <c r="J4" i="9"/>
  <c r="K4" i="9"/>
  <c r="B5" i="9"/>
  <c r="C5" i="9"/>
  <c r="D5" i="9"/>
  <c r="E5" i="9"/>
  <c r="F5" i="9"/>
  <c r="G5" i="9"/>
  <c r="H5" i="9"/>
  <c r="J5" i="9"/>
  <c r="K5" i="9"/>
  <c r="B6" i="9"/>
  <c r="C6" i="9"/>
  <c r="D6" i="9"/>
  <c r="E6" i="9"/>
  <c r="F6" i="9"/>
  <c r="G6" i="9"/>
  <c r="H6" i="9"/>
  <c r="J6" i="9"/>
  <c r="K6" i="9"/>
  <c r="B7" i="9"/>
  <c r="C7" i="9"/>
  <c r="D7" i="9"/>
  <c r="E7" i="9"/>
  <c r="F7" i="9"/>
  <c r="G7" i="9"/>
  <c r="H7" i="9"/>
  <c r="J7" i="9"/>
  <c r="K7" i="9"/>
  <c r="B8" i="9"/>
  <c r="C8" i="9"/>
  <c r="D8" i="9"/>
  <c r="E8" i="9"/>
  <c r="F8" i="9"/>
  <c r="G8" i="9"/>
  <c r="H8" i="9"/>
  <c r="J8" i="9"/>
  <c r="K8" i="9"/>
  <c r="B9" i="9"/>
  <c r="C9" i="9"/>
  <c r="D9" i="9"/>
  <c r="E9" i="9"/>
  <c r="F9" i="9"/>
  <c r="G9" i="9"/>
  <c r="H9" i="9"/>
  <c r="J9" i="9"/>
  <c r="K9" i="9"/>
  <c r="B10" i="9"/>
  <c r="C10" i="9"/>
  <c r="D10" i="9"/>
  <c r="E10" i="9"/>
  <c r="F10" i="9"/>
  <c r="G10" i="9"/>
  <c r="H10" i="9"/>
  <c r="J10" i="9"/>
  <c r="K10" i="9"/>
  <c r="B11" i="9"/>
  <c r="C11" i="9"/>
  <c r="D11" i="9"/>
  <c r="E11" i="9"/>
  <c r="F11" i="9"/>
  <c r="G11" i="9"/>
  <c r="H11" i="9"/>
  <c r="J11" i="9"/>
  <c r="K11" i="9"/>
  <c r="B12" i="9"/>
  <c r="C12" i="9"/>
  <c r="D12" i="9"/>
  <c r="E12" i="9"/>
  <c r="F12" i="9"/>
  <c r="G12" i="9"/>
  <c r="H12" i="9"/>
  <c r="J12" i="9"/>
  <c r="K12" i="9"/>
  <c r="B13" i="9"/>
  <c r="C13" i="9"/>
  <c r="D13" i="9"/>
  <c r="E13" i="9"/>
  <c r="F13" i="9"/>
  <c r="G13" i="9"/>
  <c r="H13" i="9"/>
  <c r="J13" i="9"/>
  <c r="K13" i="9"/>
  <c r="B12" i="44" l="1"/>
  <c r="B11" i="44"/>
  <c r="I11" i="46" s="1"/>
  <c r="B9" i="44"/>
  <c r="B7" i="44"/>
  <c r="B5" i="44"/>
  <c r="B3" i="44"/>
  <c r="B13" i="44"/>
  <c r="B14" i="44"/>
  <c r="B10" i="44"/>
  <c r="B8" i="44"/>
  <c r="B6" i="44"/>
  <c r="B4" i="44"/>
  <c r="P15" i="9"/>
  <c r="N15" i="9"/>
  <c r="M15" i="9"/>
  <c r="J15" i="9"/>
  <c r="D15" i="9"/>
  <c r="H15" i="9"/>
  <c r="G15" i="9"/>
  <c r="F15" i="9"/>
  <c r="C15" i="9"/>
  <c r="K15" i="9"/>
  <c r="E15" i="9"/>
  <c r="O15" i="9"/>
  <c r="L15" i="9"/>
  <c r="B15" i="9"/>
  <c r="E3" i="35" l="1"/>
  <c r="E4" i="35"/>
  <c r="E5" i="35"/>
  <c r="E6" i="35"/>
  <c r="E7" i="35"/>
  <c r="E8" i="35"/>
  <c r="E9" i="35"/>
  <c r="E10" i="35"/>
  <c r="E11" i="35"/>
  <c r="E12" i="35"/>
  <c r="E13" i="35"/>
  <c r="E14" i="35"/>
  <c r="C5" i="35"/>
  <c r="D5" i="35"/>
  <c r="C6" i="35"/>
  <c r="D6" i="35"/>
  <c r="C7" i="35"/>
  <c r="D7" i="35"/>
  <c r="C8" i="35"/>
  <c r="D8" i="35"/>
  <c r="C9" i="35"/>
  <c r="D9" i="35"/>
  <c r="C10" i="35"/>
  <c r="D10" i="35"/>
  <c r="C11" i="35"/>
  <c r="D11" i="35"/>
  <c r="C12" i="35"/>
  <c r="D12" i="35"/>
  <c r="C13" i="35"/>
  <c r="D13" i="35"/>
  <c r="C14" i="35"/>
  <c r="D14" i="35"/>
  <c r="B14" i="35"/>
  <c r="B13" i="35"/>
  <c r="B13" i="49" s="1"/>
  <c r="J13" i="46" s="1"/>
  <c r="B12" i="35"/>
  <c r="B11" i="35"/>
  <c r="B10" i="35"/>
  <c r="B9" i="35"/>
  <c r="B8" i="35"/>
  <c r="B7" i="35"/>
  <c r="B6" i="35"/>
  <c r="B5" i="35"/>
  <c r="C3" i="35"/>
  <c r="D3" i="35"/>
  <c r="C4" i="35"/>
  <c r="D4" i="35"/>
  <c r="B4" i="35"/>
  <c r="B3" i="35"/>
  <c r="B14" i="49" l="1"/>
  <c r="J14" i="46" s="1"/>
  <c r="B6" i="49"/>
  <c r="J6" i="46" s="1"/>
  <c r="B5" i="49"/>
  <c r="J5" i="46" s="1"/>
  <c r="B4" i="49"/>
  <c r="J4" i="46" s="1"/>
  <c r="B3" i="49"/>
  <c r="J3" i="46" s="1"/>
  <c r="J19" i="46" s="1"/>
  <c r="B9" i="49"/>
  <c r="J9" i="46" s="1"/>
  <c r="B10" i="49"/>
  <c r="J10" i="46" s="1"/>
  <c r="B7" i="49"/>
  <c r="J7" i="46" s="1"/>
  <c r="B8" i="49"/>
  <c r="J8" i="46" s="1"/>
  <c r="B12" i="49"/>
  <c r="J12" i="46" s="1"/>
  <c r="I12" i="46"/>
  <c r="I28" i="46" s="1"/>
  <c r="I8" i="46"/>
  <c r="I24" i="46" s="1"/>
  <c r="I27" i="46"/>
  <c r="I7" i="46"/>
  <c r="I23" i="46" s="1"/>
  <c r="I14" i="46"/>
  <c r="I30" i="46" s="1"/>
  <c r="I10" i="46"/>
  <c r="I26" i="46" s="1"/>
  <c r="I13" i="46"/>
  <c r="I29" i="46" s="1"/>
  <c r="I9" i="46"/>
  <c r="I25" i="46" s="1"/>
  <c r="I5" i="46"/>
  <c r="I21" i="46" s="1"/>
  <c r="I4" i="46"/>
  <c r="I20" i="46" s="1"/>
  <c r="E16" i="35"/>
  <c r="D16" i="35"/>
  <c r="B16" i="35"/>
  <c r="C16" i="35"/>
  <c r="I3" i="46"/>
  <c r="I19" i="46" s="1"/>
  <c r="D4" i="49" l="1"/>
  <c r="B16" i="49"/>
  <c r="J23" i="46"/>
  <c r="J29" i="46"/>
  <c r="J20" i="46"/>
  <c r="J25" i="46"/>
  <c r="J30" i="46"/>
  <c r="J24" i="46"/>
  <c r="J28" i="46"/>
  <c r="J22" i="46"/>
  <c r="J21" i="46"/>
  <c r="J26" i="46"/>
  <c r="I6" i="46"/>
  <c r="I22" i="46" s="1"/>
  <c r="D4" i="44"/>
  <c r="B16" i="44"/>
  <c r="J27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harshini</author>
  </authors>
  <commentList>
    <comment ref="J1" authorId="0" shapeId="0" xr:uid="{BF98133C-845A-44B0-8574-77C74AEC0449}">
      <text>
        <r>
          <rPr>
            <b/>
            <sz val="9"/>
            <color indexed="81"/>
            <rFont val="Tahoma"/>
            <family val="2"/>
          </rPr>
          <t>harshini:</t>
        </r>
        <r>
          <rPr>
            <sz val="9"/>
            <color indexed="81"/>
            <rFont val="Tahoma"/>
            <family val="2"/>
          </rPr>
          <t xml:space="preserve">
health care- name any specilization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harshini</author>
  </authors>
  <commentList>
    <comment ref="H18" authorId="0" shapeId="0" xr:uid="{3535047E-B5EF-491F-98D4-A1E3CDC11395}">
      <text>
        <r>
          <rPr>
            <b/>
            <sz val="9"/>
            <color indexed="81"/>
            <rFont val="Tahoma"/>
            <family val="2"/>
          </rPr>
          <t>harshini:</t>
        </r>
        <r>
          <rPr>
            <sz val="9"/>
            <color indexed="81"/>
            <rFont val="Tahoma"/>
            <family val="2"/>
          </rPr>
          <t xml:space="preserve">
everything to be zero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harshini</author>
  </authors>
  <commentList>
    <comment ref="A15" authorId="0" shapeId="0" xr:uid="{F1219F53-A6D4-4550-B134-2399EE016734}">
      <text>
        <r>
          <rPr>
            <b/>
            <sz val="9"/>
            <color indexed="81"/>
            <rFont val="Tahoma"/>
            <family val="2"/>
          </rPr>
          <t>harshini:</t>
        </r>
        <r>
          <rPr>
            <sz val="9"/>
            <color indexed="81"/>
            <rFont val="Tahoma"/>
            <family val="2"/>
          </rPr>
          <t xml:space="preserve">
health care- name any specilization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harshini</author>
  </authors>
  <commentList>
    <comment ref="B11" authorId="0" shapeId="0" xr:uid="{4CBC9B71-A172-4B7F-AE7A-E8CEAA833576}">
      <text>
        <r>
          <rPr>
            <b/>
            <sz val="9"/>
            <color indexed="81"/>
            <rFont val="Tahoma"/>
            <family val="2"/>
          </rPr>
          <t>harshini:</t>
        </r>
        <r>
          <rPr>
            <sz val="9"/>
            <color indexed="81"/>
            <rFont val="Tahoma"/>
            <family val="2"/>
          </rPr>
          <t xml:space="preserve">
health care- name any specilization</t>
        </r>
      </text>
    </comment>
  </commentList>
</comments>
</file>

<file path=xl/sharedStrings.xml><?xml version="1.0" encoding="utf-8"?>
<sst xmlns="http://schemas.openxmlformats.org/spreadsheetml/2006/main" count="381" uniqueCount="80">
  <si>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</si>
  <si>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</si>
  <si>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</si>
  <si>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</si>
  <si>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</si>
  <si>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</si>
  <si>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</si>
  <si>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</si>
  <si>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</si>
  <si>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</si>
  <si>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</si>
  <si>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Dry Fruits</t>
  </si>
  <si>
    <t>FEBRUARY</t>
  </si>
  <si>
    <t>VEGETABLES</t>
  </si>
  <si>
    <t>DRY FRUITS</t>
  </si>
  <si>
    <t>Vegetables</t>
  </si>
  <si>
    <t>Zomato</t>
  </si>
  <si>
    <t>Date</t>
  </si>
  <si>
    <t>Balance</t>
  </si>
  <si>
    <t>Description</t>
  </si>
  <si>
    <t>SBINT</t>
  </si>
  <si>
    <t>Debit/
REDUCTION</t>
  </si>
  <si>
    <t>Credit/
ADDITION</t>
  </si>
  <si>
    <t>GROCERY</t>
  </si>
  <si>
    <t>DMART</t>
  </si>
  <si>
    <t xml:space="preserve">Wifi </t>
  </si>
  <si>
    <t>TOTAL FOR YEAR</t>
  </si>
  <si>
    <t xml:space="preserve">01-07-202311:44:36 </t>
  </si>
  <si>
    <t xml:space="preserve">01-07-202319:50:12 </t>
  </si>
  <si>
    <t xml:space="preserve">01-07-202320:58:27 </t>
  </si>
  <si>
    <t xml:space="preserve">02-07-202301:11:39 </t>
  </si>
  <si>
    <t xml:space="preserve">02-07-202307:19:29 </t>
  </si>
  <si>
    <t xml:space="preserve">03-07-202312:14:48 </t>
  </si>
  <si>
    <t xml:space="preserve">04-07-202323:13:24 </t>
  </si>
  <si>
    <t xml:space="preserve">08-07-202319:06:59 </t>
  </si>
  <si>
    <t xml:space="preserve">08-07-202319:13:59 </t>
  </si>
  <si>
    <t xml:space="preserve">26-07-202320:46:30 </t>
  </si>
  <si>
    <t xml:space="preserve">30-07-202312:55:02 </t>
  </si>
  <si>
    <t xml:space="preserve">01-08-202302:27:51 </t>
  </si>
  <si>
    <t>TOTAL INCOME</t>
  </si>
  <si>
    <t>Electric</t>
  </si>
  <si>
    <t>WITHDRAWAL / DEBIT/ EXPENSE MONTH WISE  FILE</t>
  </si>
  <si>
    <t>From</t>
  </si>
  <si>
    <t>EXPENSE FILE</t>
  </si>
  <si>
    <t>INCOME FILE</t>
  </si>
  <si>
    <t>CREDIT/DEPOSIT/INCOME MONTH WISE  FILE</t>
  </si>
  <si>
    <t xml:space="preserve">Balance </t>
  </si>
  <si>
    <t>refund</t>
  </si>
  <si>
    <t>PGRENT</t>
  </si>
  <si>
    <t>AIRTEL</t>
  </si>
  <si>
    <t xml:space="preserve">WIFI </t>
  </si>
  <si>
    <t>TRANSPORT</t>
  </si>
  <si>
    <t>HEALTHC</t>
  </si>
  <si>
    <t>OTNG HOTEL</t>
  </si>
  <si>
    <t>OUTFOOD</t>
  </si>
  <si>
    <t>ZOMATO</t>
  </si>
  <si>
    <t>SWIGGY</t>
  </si>
  <si>
    <t>ELECTRIC</t>
  </si>
  <si>
    <t>OTHERXP</t>
  </si>
  <si>
    <t>Pgrent</t>
  </si>
  <si>
    <t>Airtel</t>
  </si>
  <si>
    <t>Transport</t>
  </si>
  <si>
    <t>Dmart</t>
  </si>
  <si>
    <t>Grocery</t>
  </si>
  <si>
    <t>Healthc</t>
  </si>
  <si>
    <t xml:space="preserve">Otng Transport </t>
  </si>
  <si>
    <t>Otng Hotel</t>
  </si>
  <si>
    <t>Outfood</t>
  </si>
  <si>
    <t>Swiggy</t>
  </si>
  <si>
    <t>Otherxp</t>
  </si>
  <si>
    <t xml:space="preserve">salary </t>
  </si>
  <si>
    <t>second source income</t>
  </si>
  <si>
    <t>Average Earning</t>
  </si>
  <si>
    <t>Average Spending</t>
  </si>
  <si>
    <t>MONTHLY 20243 YEAR</t>
  </si>
  <si>
    <t>MONTHLY 2024 YEAR</t>
  </si>
  <si>
    <t>INCOME</t>
  </si>
  <si>
    <t>EXPENSE</t>
  </si>
  <si>
    <t>YEARLY EARNING</t>
  </si>
  <si>
    <t>YEARLY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</si>
</sst>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onsolas"/>
      <family val="3"/>
    </font>
    <font>
      <b/>
      <sz val="10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2"/>
      <color rgb="FF000000"/>
      <name val="Times New Roman"/>
      <family val="1"/>
    </font>
    <font>
      <sz val="11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sz val="14"/>
      <color rgb="FFFF0000"/>
      <name val="Calibri"/>
      <family val="2"/>
      <scheme val="minor"/>
    </font>
    <font>
      <sz val="12"/>
      <color theme="1"/>
      <name val="Times New Roman"/>
      <family val="1"/>
    </font>
    <font>
      <sz val="11"/>
      <color rgb="FF00421E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421E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4"/>
      <color rgb="FF00421E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3E1C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81">
    <xf numFmtId="0" fontId="0" fillId="0" borderId="0" xfId="0"/>
    <xf numFmtId="44" fontId="0" fillId="0" borderId="0" xfId="1" applyFont="1" applyAlignment="1">
      <alignment vertical="center"/>
    </xf>
    <xf numFmtId="44" fontId="2" fillId="0" borderId="0" xfId="1" applyFont="1" applyFill="1" applyBorder="1" applyAlignment="1">
      <alignment vertical="center" wrapText="1"/>
    </xf>
    <xf numFmtId="44" fontId="2" fillId="0" borderId="0" xfId="1" applyFont="1" applyFill="1" applyBorder="1" applyAlignment="1">
      <alignment vertical="center"/>
    </xf>
    <xf numFmtId="44" fontId="10" fillId="0" borderId="0" xfId="1" applyFont="1" applyAlignment="1">
      <alignment vertical="center"/>
    </xf>
    <xf numFmtId="0" fontId="0" fillId="0" borderId="0" xfId="0" applyBorder="1"/>
    <xf numFmtId="0" fontId="0" fillId="0" borderId="0" xfId="0" applyAlignment="1">
      <alignment horizontal="left" vertical="top"/>
    </xf>
    <xf numFmtId="0" fontId="8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4" fontId="0" fillId="0" borderId="0" xfId="0" applyNumberFormat="1"/>
    <xf numFmtId="22" fontId="0" fillId="0" borderId="0" xfId="0" applyNumberFormat="1"/>
    <xf numFmtId="0" fontId="5" fillId="0" borderId="0" xfId="0" applyFont="1" applyAlignment="1" applyProtection="1">
      <alignment wrapText="1"/>
      <protection hidden="1"/>
    </xf>
    <xf numFmtId="0" fontId="0" fillId="0" borderId="0" xfId="0" applyFill="1" applyBorder="1"/>
    <xf numFmtId="0" fontId="0" fillId="0" borderId="0" xfId="0" applyFill="1"/>
    <xf numFmtId="0" fontId="0" fillId="0" borderId="0" xfId="0" applyNumberFormat="1" applyFill="1" applyBorder="1"/>
    <xf numFmtId="0" fontId="12" fillId="0" borderId="0" xfId="0" applyNumberFormat="1" applyFont="1" applyFill="1"/>
    <xf numFmtId="0" fontId="0" fillId="0" borderId="0" xfId="0" applyNumberFormat="1" applyFill="1" applyBorder="1" applyAlignment="1">
      <alignment wrapText="1"/>
    </xf>
    <xf numFmtId="44" fontId="1" fillId="0" borderId="0" xfId="1" applyFont="1" applyAlignment="1">
      <alignment wrapText="1"/>
    </xf>
    <xf numFmtId="44" fontId="6" fillId="0" borderId="0" xfId="1" applyFont="1" applyFill="1" applyBorder="1" applyAlignment="1">
      <alignment horizontal="center" vertical="center" wrapText="1"/>
    </xf>
    <xf numFmtId="44" fontId="10" fillId="0" borderId="0" xfId="1" applyFont="1" applyBorder="1" applyAlignment="1">
      <alignment vertical="center"/>
    </xf>
    <xf numFmtId="44" fontId="0" fillId="0" borderId="0" xfId="1" applyFont="1" applyBorder="1" applyAlignment="1">
      <alignment vertical="center"/>
    </xf>
    <xf numFmtId="44" fontId="5" fillId="0" borderId="0" xfId="1" applyFont="1" applyBorder="1" applyAlignment="1">
      <alignment vertical="center"/>
    </xf>
    <xf numFmtId="44" fontId="2" fillId="0" borderId="0" xfId="1" applyFont="1" applyFill="1" applyBorder="1" applyAlignment="1">
      <alignment wrapText="1"/>
    </xf>
    <xf numFmtId="44" fontId="10" fillId="0" borderId="0" xfId="1" applyFont="1" applyBorder="1" applyAlignment="1"/>
    <xf numFmtId="44" fontId="0" fillId="0" borderId="0" xfId="0" applyNumberFormat="1" applyAlignment="1">
      <alignment horizontal="left" vertical="top"/>
    </xf>
    <xf numFmtId="44" fontId="5" fillId="0" borderId="0" xfId="1" applyFont="1" applyBorder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left"/>
    </xf>
    <xf numFmtId="166" fontId="5" fillId="0" borderId="0" xfId="0" applyNumberFormat="1" applyFont="1" applyAlignment="1" applyProtection="1">
      <alignment wrapText="1"/>
      <protection hidden="1"/>
    </xf>
    <xf numFmtId="166" fontId="0" fillId="0" borderId="0" xfId="0" applyNumberFormat="1"/>
    <xf numFmtId="0" fontId="6" fillId="0" borderId="0" xfId="0" applyFont="1" applyAlignment="1">
      <alignment horizontal="left" vertical="top"/>
    </xf>
    <xf numFmtId="0" fontId="15" fillId="0" borderId="0" xfId="0" applyFont="1" applyFill="1" applyBorder="1" applyAlignment="1">
      <alignment horizontal="left" vertical="top"/>
    </xf>
    <xf numFmtId="0" fontId="15" fillId="4" borderId="0" xfId="0" applyFont="1" applyFill="1" applyBorder="1" applyAlignment="1">
      <alignment horizontal="left" vertical="top"/>
    </xf>
    <xf numFmtId="0" fontId="15" fillId="0" borderId="0" xfId="0" applyFont="1" applyFill="1" applyBorder="1" applyAlignment="1">
      <alignment horizontal="center" vertical="top"/>
    </xf>
    <xf numFmtId="0" fontId="0" fillId="0" borderId="0" xfId="0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/>
    </xf>
    <xf numFmtId="4" fontId="0" fillId="0" borderId="0" xfId="0" applyNumberFormat="1" applyFill="1" applyBorder="1" applyAlignment="1">
      <alignment horizontal="left" vertical="top"/>
    </xf>
    <xf numFmtId="4" fontId="18" fillId="0" borderId="0" xfId="0" applyNumberFormat="1" applyFont="1" applyFill="1" applyBorder="1" applyAlignment="1">
      <alignment horizontal="left" vertical="top"/>
    </xf>
    <xf numFmtId="0" fontId="19" fillId="0" borderId="0" xfId="0" applyFont="1" applyAlignment="1">
      <alignment horizontal="left" vertical="top"/>
    </xf>
    <xf numFmtId="44" fontId="11" fillId="0" borderId="0" xfId="0" applyNumberFormat="1" applyFont="1" applyAlignment="1">
      <alignment horizontal="left" vertical="top"/>
    </xf>
    <xf numFmtId="44" fontId="14" fillId="0" borderId="0" xfId="1" applyFont="1" applyFill="1" applyBorder="1" applyAlignment="1">
      <alignment vertical="center"/>
    </xf>
    <xf numFmtId="44" fontId="14" fillId="0" borderId="0" xfId="1" applyFont="1" applyFill="1" applyBorder="1" applyAlignment="1">
      <alignment horizontal="center" vertical="center"/>
    </xf>
    <xf numFmtId="44" fontId="13" fillId="0" borderId="0" xfId="1" applyFont="1" applyFill="1" applyBorder="1" applyAlignment="1">
      <alignment vertical="center"/>
    </xf>
    <xf numFmtId="0" fontId="16" fillId="5" borderId="0" xfId="0" applyFont="1" applyFill="1" applyBorder="1" applyAlignment="1">
      <alignment horizontal="left" vertical="top"/>
    </xf>
    <xf numFmtId="0" fontId="21" fillId="0" borderId="0" xfId="0" applyFont="1" applyAlignment="1">
      <alignment horizontal="left" vertical="top"/>
    </xf>
    <xf numFmtId="44" fontId="21" fillId="0" borderId="0" xfId="0" applyNumberFormat="1" applyFont="1" applyAlignment="1">
      <alignment horizontal="left" vertical="top"/>
    </xf>
    <xf numFmtId="44" fontId="23" fillId="0" borderId="0" xfId="1" applyFont="1" applyFill="1" applyBorder="1" applyAlignment="1">
      <alignment horizontal="center" vertical="center" wrapText="1"/>
    </xf>
    <xf numFmtId="44" fontId="6" fillId="8" borderId="0" xfId="1" applyFont="1" applyFill="1" applyBorder="1" applyAlignment="1">
      <alignment horizontal="center" vertical="center" wrapText="1"/>
    </xf>
    <xf numFmtId="44" fontId="6" fillId="8" borderId="0" xfId="1" applyFont="1" applyFill="1" applyAlignment="1">
      <alignment horizontal="center" vertical="center" wrapText="1"/>
    </xf>
    <xf numFmtId="44" fontId="24" fillId="0" borderId="0" xfId="1" applyFont="1" applyFill="1" applyBorder="1" applyAlignment="1">
      <alignment horizontal="left" vertical="center" wrapText="1"/>
    </xf>
    <xf numFmtId="44" fontId="24" fillId="0" borderId="0" xfId="1" applyFont="1" applyFill="1" applyAlignment="1">
      <alignment horizontal="left" vertical="center" wrapText="1"/>
    </xf>
    <xf numFmtId="0" fontId="6" fillId="0" borderId="0" xfId="0" applyFont="1"/>
    <xf numFmtId="0" fontId="6" fillId="4" borderId="0" xfId="0" applyFont="1" applyFill="1"/>
    <xf numFmtId="44" fontId="6" fillId="4" borderId="0" xfId="1" applyFont="1" applyFill="1" applyBorder="1" applyAlignment="1">
      <alignment vertical="center" wrapText="1"/>
    </xf>
    <xf numFmtId="0" fontId="24" fillId="0" borderId="0" xfId="0" applyFont="1" applyFill="1"/>
    <xf numFmtId="44" fontId="24" fillId="0" borderId="0" xfId="1" applyFont="1" applyFill="1" applyBorder="1" applyAlignment="1">
      <alignment vertical="center" wrapText="1"/>
    </xf>
    <xf numFmtId="0" fontId="7" fillId="6" borderId="0" xfId="0" applyFont="1" applyFill="1" applyAlignment="1" applyProtection="1">
      <alignment wrapText="1"/>
      <protection hidden="1"/>
    </xf>
    <xf numFmtId="2" fontId="7" fillId="6" borderId="0" xfId="0" applyNumberFormat="1" applyFont="1" applyFill="1" applyAlignment="1" applyProtection="1">
      <alignment horizontal="right" wrapText="1"/>
      <protection hidden="1"/>
    </xf>
    <xf numFmtId="0" fontId="25" fillId="0" borderId="0" xfId="0" applyFont="1" applyAlignment="1">
      <alignment horizontal="left" vertical="top"/>
    </xf>
    <xf numFmtId="2" fontId="0" fillId="0" borderId="0" xfId="0" applyNumberFormat="1" applyBorder="1"/>
    <xf numFmtId="0" fontId="15" fillId="5" borderId="0" xfId="0" applyFont="1" applyFill="1" applyBorder="1" applyAlignment="1">
      <alignment horizontal="center" vertical="top"/>
    </xf>
    <xf numFmtId="0" fontId="20" fillId="4" borderId="0" xfId="0" applyFont="1" applyFill="1" applyBorder="1" applyAlignment="1">
      <alignment horizontal="center" vertical="top"/>
    </xf>
    <xf numFmtId="4" fontId="22" fillId="9" borderId="0" xfId="0" applyNumberFormat="1" applyFont="1" applyFill="1" applyAlignment="1">
      <alignment horizontal="left" vertical="top"/>
    </xf>
    <xf numFmtId="4" fontId="22" fillId="7" borderId="0" xfId="0" applyNumberFormat="1" applyFont="1" applyFill="1" applyAlignment="1">
      <alignment horizontal="left" vertical="top"/>
    </xf>
    <xf numFmtId="44" fontId="22" fillId="2" borderId="0" xfId="1" applyFont="1" applyFill="1" applyBorder="1" applyAlignment="1">
      <alignment wrapText="1"/>
    </xf>
    <xf numFmtId="44" fontId="9" fillId="3" borderId="0" xfId="1" applyFont="1" applyFill="1" applyBorder="1" applyAlignment="1">
      <alignment wrapText="1"/>
    </xf>
    <xf numFmtId="44" fontId="9" fillId="0" borderId="0" xfId="1" applyFont="1" applyBorder="1" applyAlignment="1"/>
    <xf numFmtId="44" fontId="8" fillId="0" borderId="0" xfId="1" applyFont="1" applyFill="1" applyBorder="1" applyAlignment="1">
      <alignment horizontal="left" vertical="center" wrapText="1"/>
    </xf>
    <xf numFmtId="44" fontId="26" fillId="0" borderId="0" xfId="1" applyFont="1" applyFill="1" applyBorder="1" applyAlignment="1">
      <alignment horizontal="center" vertical="top"/>
    </xf>
    <xf numFmtId="44" fontId="6" fillId="0" borderId="0" xfId="1" applyFont="1" applyBorder="1" applyAlignment="1">
      <alignment horizontal="center" vertical="center"/>
    </xf>
    <xf numFmtId="44" fontId="8" fillId="0" borderId="0" xfId="1" applyFont="1" applyBorder="1" applyAlignment="1">
      <alignment vertical="center"/>
    </xf>
    <xf numFmtId="44" fontId="6" fillId="0" borderId="0" xfId="1" applyFont="1" applyBorder="1" applyAlignment="1">
      <alignment vertical="center"/>
    </xf>
    <xf numFmtId="44" fontId="6" fillId="0" borderId="0" xfId="1" applyFont="1" applyAlignment="1">
      <alignment horizontal="left" vertical="center" wrapText="1"/>
    </xf>
    <xf numFmtId="0" fontId="27" fillId="0" borderId="0" xfId="0" applyFont="1" applyAlignment="1">
      <alignment horizontal="left" vertical="top"/>
    </xf>
    <xf numFmtId="44" fontId="8" fillId="0" borderId="0" xfId="1" applyFont="1" applyFill="1" applyBorder="1" applyAlignment="1">
      <alignment vertical="center" wrapText="1"/>
    </xf>
    <xf numFmtId="0" fontId="8" fillId="0" borderId="0" xfId="0" applyFont="1"/>
    <xf numFmtId="44" fontId="9" fillId="4" borderId="0" xfId="0" applyNumberFormat="1" applyFont="1" applyFill="1" applyAlignment="1">
      <alignment horizontal="center"/>
    </xf>
    <xf numFmtId="0" fontId="2" fillId="0" borderId="0" xfId="0" applyFont="1" applyAlignment="1"/>
    <xf numFmtId="0" fontId="9" fillId="0" borderId="0" xfId="0" applyFont="1" applyFill="1" applyAlignment="1"/>
    <xf numFmtId="44" fontId="22" fillId="9" borderId="0" xfId="1" applyFont="1" applyFill="1" applyBorder="1" applyAlignment="1">
      <alignment horizontal="center" wrapText="1"/>
    </xf>
    <xf numFmtId="0" fontId="28" fillId="0" borderId="0" xfId="0" applyFont="1" applyAlignment="1">
      <alignment horizontal="left" vertical="top"/>
    </xf>
  </cellXfs>
  <cellStyles count="3">
    <cellStyle name="Currency" xfId="1" builtinId="4"/>
    <cellStyle name="Normal" xfId="0" builtinId="0"/>
    <cellStyle name="Normal 3" xfId="2" xr:uid="{00738574-21D6-4400-A336-EB47A6388F05}"/>
  </cellStyles>
  <dxfs count="0"/>
  <tableStyles count="0" defaultTableStyle="TableStyleMedium2" defaultPivotStyle="PivotStyleLight16"/>
  <colors>
    <mruColors>
      <color rgb="FF003E1C"/>
      <color rgb="FF00421E"/>
      <color rgb="FFFFFF00"/>
      <color rgb="FF003399"/>
      <color rgb="FF003366"/>
      <color rgb="FF000066"/>
      <color rgb="FF6699FF"/>
      <color rgb="FFC0C0C0"/>
      <color rgb="FFD5F4FF"/>
      <color rgb="FFFDEC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Red Orange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600F-EADA-425B-977C-5D9A7B9FCB1B}">
  <sheetPr codeName="Sheet4">
    <tabColor rgb="FFC00000"/>
  </sheetPr>
  <dimension ref="A1:Y61"/>
  <sheetViews>
    <sheetView tabSelected="1" zoomScale="82" zoomScaleNormal="82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"/>
    </sheetView>
  </sheetViews>
  <sheetFormatPr defaultColWidth="14.140625" defaultRowHeight="18.75" outlineLevelRow="1" x14ac:dyDescent="0.25"/>
  <cols>
    <col min="1" max="1" width="19.85546875" style="72" bestFit="1" customWidth="1"/>
    <col min="2" max="2" width="14.5703125" style="17" bestFit="1" customWidth="1"/>
    <col min="3" max="3" width="15.7109375" style="1" customWidth="1"/>
    <col min="4" max="4" width="16" style="1" bestFit="1" customWidth="1"/>
    <col min="5" max="5" width="14.5703125" style="1" bestFit="1" customWidth="1"/>
    <col min="6" max="6" width="16" style="1" bestFit="1" customWidth="1"/>
    <col min="7" max="7" width="17.140625" style="1" customWidth="1"/>
    <col min="8" max="8" width="15.85546875" style="1" customWidth="1"/>
    <col min="9" max="10" width="16" style="1" bestFit="1" customWidth="1"/>
    <col min="11" max="13" width="14.5703125" style="1" bestFit="1" customWidth="1"/>
    <col min="14" max="14" width="16" style="1" bestFit="1" customWidth="1"/>
    <col min="15" max="16" width="14.28515625" style="1" bestFit="1" customWidth="1"/>
    <col min="17" max="16384" width="14.140625" style="1"/>
  </cols>
  <sheetData>
    <row r="1" spans="1:25" s="18" customFormat="1" ht="37.5" x14ac:dyDescent="0.25">
      <c r="B1" s="47" t="s">
        <v>48</v>
      </c>
      <c r="C1" s="47" t="s">
        <v>13</v>
      </c>
      <c r="D1" s="47" t="s">
        <v>14</v>
      </c>
      <c r="E1" s="47" t="s">
        <v>49</v>
      </c>
      <c r="F1" s="47" t="s">
        <v>50</v>
      </c>
      <c r="G1" s="47" t="s">
        <v>51</v>
      </c>
      <c r="H1" s="47" t="s">
        <v>24</v>
      </c>
      <c r="I1" s="47" t="s">
        <v>23</v>
      </c>
      <c r="J1" s="47" t="s">
        <v>52</v>
      </c>
      <c r="K1" s="47" t="s">
        <v>53</v>
      </c>
      <c r="L1" s="47" t="s">
        <v>54</v>
      </c>
      <c r="M1" s="47" t="s">
        <v>55</v>
      </c>
      <c r="N1" s="48" t="s">
        <v>56</v>
      </c>
      <c r="O1" s="47" t="s">
        <v>57</v>
      </c>
      <c r="P1" s="47" t="s">
        <v>58</v>
      </c>
      <c r="R1" s="46"/>
    </row>
    <row r="2" spans="1:25" s="19" customFormat="1" x14ac:dyDescent="0.2">
      <c r="A2" s="67" t="s">
        <v>0</v>
      </c>
      <c r="B2" s="23">
        <f>SUMIFS('1jan'!$B$2:$B$100, '1jan'!$A$2:$A$100, "*" &amp;B1&amp; "*")</f>
        <v>1</v>
      </c>
      <c r="C2" s="19">
        <f>SUMIFS('1jan'!$B$2:$B$100, '1jan'!$A$2:$A$100, "*" &amp;C1&amp; "*")</f>
        <v>3850</v>
      </c>
      <c r="D2" s="19">
        <f>SUMIFS('1jan'!$B$2:$B$100, '1jan'!$A$2:$A$100, "*" &amp;D1&amp; "*")</f>
        <v>0</v>
      </c>
      <c r="E2" s="19">
        <f>SUMIFS('1jan'!$B$2:$B$100, '1jan'!$A$2:$A$100, "*" &amp;E1&amp; "*")</f>
        <v>807</v>
      </c>
      <c r="F2" s="19">
        <f>SUMIFS('1jan'!$B$2:$B$100, '1jan'!$A$2:$A$100, "*" &amp;F1&amp; "*")</f>
        <v>0</v>
      </c>
      <c r="G2" s="19">
        <f>SUMIFS('1jan'!$B$2:$B$100, '1jan'!$A$2:$A$100, "*" &amp;G1&amp; "*")</f>
        <v>203.8</v>
      </c>
      <c r="H2" s="19">
        <f>SUMIFS('1jan'!$B$2:$B$100, '1jan'!$A$2:$A$100, "*" &amp;H1&amp; "*")</f>
        <v>170.2</v>
      </c>
      <c r="I2" s="19">
        <f>SUMIFS('1jan'!$B$2:$B$100, '1jan'!$A$2:$A$100, "*" &amp;I1&amp; "*")</f>
        <v>230</v>
      </c>
      <c r="J2" s="19">
        <f>SUMIFS('1jan'!$B$2:$B$100, '1jan'!$A$2:$A$100, "*" &amp;J1&amp; "*")</f>
        <v>0</v>
      </c>
      <c r="K2" s="19">
        <f>SUMIFS('1jan'!$B$2:$B$100, '1jan'!$A$2:$A$100, "*" &amp;K1&amp; "*")</f>
        <v>230</v>
      </c>
      <c r="L2" s="19">
        <f>SUMIFS('1jan'!$B$2:$B$100, '1jan'!$A$2:$A$100, "*" &amp;L1&amp; "*")</f>
        <v>126</v>
      </c>
      <c r="M2" s="19">
        <f>SUMIFS('1jan'!$B$2:$B$100, '1jan'!$A$2:$A$100, "*" &amp;M1&amp; "*")</f>
        <v>267</v>
      </c>
      <c r="N2" s="19">
        <f>SUMIFS('1jan'!$B$2:$B$100, '1jan'!$A$2:$A$100, "*" &amp;N1&amp; "*")</f>
        <v>3300</v>
      </c>
      <c r="O2" s="19">
        <f>SUMIFS('1jan'!$B$2:$B$100, '1jan'!$A$2:$A$100, "*" &amp;O1&amp; "*")</f>
        <v>0</v>
      </c>
      <c r="P2" s="19">
        <f>SUMIFS('1jan'!$B$2:$B$100, '1jan'!$A$2:$A$100, "*" &amp;P1&amp; "*")</f>
        <v>0</v>
      </c>
      <c r="R2" s="42"/>
    </row>
    <row r="3" spans="1:25" s="21" customFormat="1" x14ac:dyDescent="0.2">
      <c r="A3" s="67" t="s">
        <v>12</v>
      </c>
      <c r="B3" s="23">
        <f>SUMIFS('2feb'!$B$3:$B$101, '2feb'!$A$3:$A$101, "*" &amp;B1&amp; "*")</f>
        <v>0</v>
      </c>
      <c r="C3" s="19">
        <f>SUMIFS('2feb'!$B$3:$B$101, '2feb'!$A$3:$A$101, "*" &amp;C1&amp; "*")</f>
        <v>230</v>
      </c>
      <c r="D3" s="19">
        <f>SUMIFS('2feb'!$B$3:$B$101, '2feb'!$A$3:$A$101, "*" &amp;D1&amp; "*")</f>
        <v>2300</v>
      </c>
      <c r="E3" s="19">
        <f>SUMIFS('2feb'!$B$3:$B$101, '2feb'!$A$3:$A$101, "*" &amp;E1&amp; "*")</f>
        <v>1000</v>
      </c>
      <c r="F3" s="19">
        <f>SUMIFS('2feb'!$B$3:$B$101, '2feb'!$A$3:$A$101, "*" &amp;F1&amp; "*")</f>
        <v>1130</v>
      </c>
      <c r="G3" s="19">
        <f>SUMIFS('2feb'!$B$3:$B$101, '2feb'!$A$3:$A$101, "*" &amp;G1&amp; "*")</f>
        <v>0</v>
      </c>
      <c r="H3" s="19">
        <f>SUMIFS('2feb'!$B$3:$B$101, '2feb'!$A$3:$A$101, "*" &amp;H1&amp; "*")</f>
        <v>0</v>
      </c>
      <c r="I3" s="19">
        <f>SUMIFS('2feb'!$B$3:$B$101, '2feb'!$A$3:$A$101, "*" &amp;I1&amp; "*")</f>
        <v>907.6</v>
      </c>
      <c r="J3" s="19">
        <f>SUMIFS('2feb'!$B$3:$B$101, '2feb'!$A$3:$A$101, "*" &amp;J1&amp; "*")</f>
        <v>35000</v>
      </c>
      <c r="K3" s="19">
        <f>SUMIFS('2feb'!$B$3:$B$101, '2feb'!$A$3:$A$101, "*" &amp;K1&amp; "*")</f>
        <v>0</v>
      </c>
      <c r="L3" s="19">
        <f>SUMIFS('2feb'!$B$3:$B$101, '2feb'!$A$3:$A$101, "*" &amp;L1&amp; "*")</f>
        <v>0</v>
      </c>
      <c r="M3" s="19">
        <f>SUMIFS('2feb'!$B$3:$B$101, '2feb'!$A$3:$A$101, "*" &amp;M1&amp; "*")</f>
        <v>0</v>
      </c>
      <c r="N3" s="19">
        <f>SUMIFS('2feb'!$B$3:$B$101, '2feb'!$A$3:$A$101, "*" &amp;N1&amp; "*")</f>
        <v>9899</v>
      </c>
      <c r="O3" s="19">
        <f>SUMIFS('2feb'!$B$3:$B$101, '2feb'!$A$3:$A$101, "*" &amp;O1&amp; "*")</f>
        <v>155</v>
      </c>
      <c r="P3" s="19">
        <f>SUMIFS('2feb'!$B$3:$B$101, '2feb'!$A$3:$A$101, "*" &amp;P1&amp; "*")</f>
        <v>0</v>
      </c>
      <c r="R3" s="42"/>
    </row>
    <row r="4" spans="1:25" s="21" customFormat="1" x14ac:dyDescent="0.2">
      <c r="A4" s="67" t="s">
        <v>1</v>
      </c>
      <c r="B4" s="23">
        <f>SUMIFS('3mar'!$B$2:$B$98, '3mar'!$A$2:$A$98, "*" &amp;B1&amp; "*")</f>
        <v>0</v>
      </c>
      <c r="C4" s="19">
        <f>SUMIFS('3mar'!$B$2:$B$98, '3mar'!$A$2:$A$98, "*" &amp;C1&amp; "*")</f>
        <v>0</v>
      </c>
      <c r="D4" s="19">
        <f>SUMIFS('3mar'!$B$2:$B$98, '3mar'!$A$2:$A$98, "*" &amp;D1&amp; "*")</f>
        <v>219</v>
      </c>
      <c r="E4" s="19">
        <f>SUMIFS('3mar'!$B$2:$B$98, '3mar'!$A$2:$A$98, "*" &amp;E1&amp; "*")</f>
        <v>272</v>
      </c>
      <c r="F4" s="19">
        <f>SUMIFS('3mar'!$B$2:$B$98, '3mar'!$A$2:$A$98, "*" &amp;F1&amp; "*")</f>
        <v>2589</v>
      </c>
      <c r="G4" s="19">
        <f>SUMIFS('3mar'!$B$2:$B$98, '3mar'!$A$2:$A$98, "*" &amp;G1&amp; "*")</f>
        <v>1000</v>
      </c>
      <c r="H4" s="19">
        <f>SUMIFS('3mar'!$B$2:$B$98, '3mar'!$A$2:$A$98, "*" &amp;H1&amp; "*")</f>
        <v>1513.62</v>
      </c>
      <c r="I4" s="19">
        <f>SUMIFS('3mar'!$B$2:$B$98, '3mar'!$A$2:$A$98, "*" &amp;I1&amp; "*")</f>
        <v>3000</v>
      </c>
      <c r="J4" s="19">
        <f>SUMIFS('3mar'!$B$2:$B$98, '3mar'!$A$2:$A$98, "*" &amp;J1&amp; "*")</f>
        <v>2970</v>
      </c>
      <c r="K4" s="19">
        <f>SUMIFS('3mar'!$B$2:$B$98, '3mar'!$A$2:$A$98, "*" &amp;K1&amp; "*")</f>
        <v>250</v>
      </c>
      <c r="L4" s="19">
        <f>SUMIFS('3mar'!$B$2:$B$98, '3mar'!$A$2:$A$98, "*" &amp;L1&amp; "*")</f>
        <v>0</v>
      </c>
      <c r="M4" s="19">
        <f>SUMIFS('3mar'!$B$2:$B$98, '3mar'!$A$2:$A$98, "*" &amp;M1&amp; "*")</f>
        <v>0</v>
      </c>
      <c r="N4" s="19">
        <f>SUMIFS('3mar'!$B$2:$B$98, '3mar'!$A$2:$A$98, "*" &amp;N1&amp; "*")</f>
        <v>0</v>
      </c>
      <c r="O4" s="19">
        <f>SUMIFS('3mar'!$B$2:$B$98, '3mar'!$A$2:$A$98, "*" &amp;O1&amp; "*")</f>
        <v>0</v>
      </c>
      <c r="P4" s="19">
        <f>SUMIFS('3mar'!$B$2:$B$98, '3mar'!$A$2:$A$98, "*" &amp;P1&amp; "*")</f>
        <v>0</v>
      </c>
      <c r="R4" s="42"/>
    </row>
    <row r="5" spans="1:25" s="21" customFormat="1" x14ac:dyDescent="0.2">
      <c r="A5" s="67" t="s">
        <v>2</v>
      </c>
      <c r="B5" s="23">
        <f>SUMIFS('4apr'!$B$2:$B$100, '4apr'!$A$2:$A$100, "*" &amp;B1&amp; "*")</f>
        <v>155</v>
      </c>
      <c r="C5" s="19">
        <f>SUMIFS('4apr'!$B$2:$B$100, '4apr'!$A$2:$A$100, "*" &amp;C1&amp; "*")</f>
        <v>10</v>
      </c>
      <c r="D5" s="19">
        <f>SUMIFS('4apr'!$B$2:$B$100, '4apr'!$A$2:$A$100, "*" &amp;D1&amp; "*")</f>
        <v>65</v>
      </c>
      <c r="E5" s="19">
        <f>SUMIFS('4apr'!$B$2:$B$100, '4apr'!$A$2:$A$100, "*" &amp;E1&amp; "*")</f>
        <v>205</v>
      </c>
      <c r="F5" s="19">
        <f>SUMIFS('4apr'!$B$2:$B$100, '4apr'!$A$2:$A$100, "*" &amp;F1&amp; "*")</f>
        <v>299</v>
      </c>
      <c r="G5" s="19">
        <f>SUMIFS('4apr'!$B$2:$B$100, '4apr'!$A$2:$A$100, "*" &amp;G1&amp; "*")</f>
        <v>450</v>
      </c>
      <c r="H5" s="19">
        <f>SUMIFS('4apr'!$B$2:$B$100, '4apr'!$A$2:$A$100, "*" &amp;H1&amp; "*")</f>
        <v>3000</v>
      </c>
      <c r="I5" s="19">
        <f>SUMIFS('4apr'!$B$2:$B$100, '4apr'!$A$2:$A$100, "*" &amp;I1&amp; "*")</f>
        <v>60</v>
      </c>
      <c r="J5" s="19">
        <f>SUMIFS('4apr'!$B$2:$B$100, '4apr'!$A$2:$A$100, "*" &amp;J1&amp; "*")</f>
        <v>231</v>
      </c>
      <c r="K5" s="19">
        <f>SUMIFS('4apr'!$B$2:$B$100, '4apr'!$A$2:$A$100, "*" &amp;K1&amp; "*")</f>
        <v>0</v>
      </c>
      <c r="L5" s="19">
        <f>SUMIFS('4apr'!$B$2:$B$100, '4apr'!$A$2:$A$100, "*" &amp;L1&amp; "*")</f>
        <v>0</v>
      </c>
      <c r="M5" s="19">
        <f>SUMIFS('4apr'!$B$2:$B$100, '4apr'!$A$2:$A$100, "*" &amp;M1&amp; "*")</f>
        <v>0</v>
      </c>
      <c r="N5" s="19">
        <f>SUMIFS('4apr'!$B$2:$B$100, '4apr'!$A$2:$A$100, "*" &amp;N1&amp; "*")</f>
        <v>0</v>
      </c>
      <c r="O5" s="19">
        <f>SUMIFS('4apr'!$B$2:$B$100, '4apr'!$A$2:$A$100, "*" &amp;O1&amp; "*")</f>
        <v>0</v>
      </c>
      <c r="P5" s="19">
        <f>SUMIFS('4apr'!$B$2:$B$100, '4apr'!$A$2:$A$100, "*" &amp;P1&amp; "*")</f>
        <v>0</v>
      </c>
      <c r="R5" s="42"/>
    </row>
    <row r="6" spans="1:25" s="21" customFormat="1" x14ac:dyDescent="0.2">
      <c r="A6" s="67" t="s">
        <v>3</v>
      </c>
      <c r="B6" s="23">
        <f>SUMIFS('5may'!$B$2:$B$97, '5may'!$A$2:$A$97, "*" &amp;B1&amp; "*")</f>
        <v>2000</v>
      </c>
      <c r="C6" s="19">
        <f>SUMIFS('5may'!$B$2:$B$97, '5may'!$A$2:$A$97, "*" &amp;C1&amp; "*")</f>
        <v>155</v>
      </c>
      <c r="D6" s="19">
        <f>SUMIFS('5may'!$B$2:$B$97, '5may'!$A$2:$A$97, "*" &amp;D1&amp; "*")</f>
        <v>450</v>
      </c>
      <c r="E6" s="19">
        <f>SUMIFS('5may'!$B$2:$B$97, '5may'!$A$2:$A$97, "*" &amp;E1&amp; "*")</f>
        <v>400</v>
      </c>
      <c r="F6" s="19">
        <f>SUMIFS('5may'!$B$2:$B$97, '5may'!$A$2:$A$97, "*" &amp;F1&amp; "*")</f>
        <v>200</v>
      </c>
      <c r="G6" s="19">
        <f>SUMIFS('5may'!$B$2:$B$97, '5may'!$A$2:$A$97, "*" &amp;G1&amp; "*")</f>
        <v>4563</v>
      </c>
      <c r="H6" s="19">
        <f>SUMIFS('5may'!$B$2:$B$97, '5may'!$A$2:$A$97, "*" &amp;H1&amp; "*")</f>
        <v>2130.33</v>
      </c>
      <c r="I6" s="19">
        <f>SUMIFS('5may'!$B$2:$B$97, '5may'!$A$2:$A$97, "*" &amp;I1&amp; "*")</f>
        <v>6257.6</v>
      </c>
      <c r="J6" s="19">
        <f>SUMIFS('5may'!$B$2:$B$97, '5may'!$A$2:$A$97, "*" &amp;J1&amp; "*")</f>
        <v>230</v>
      </c>
      <c r="K6" s="19">
        <f>SUMIFS('5may'!$B$2:$B$97, '5may'!$A$2:$A$97, "*" &amp;K1&amp; "*")</f>
        <v>550</v>
      </c>
      <c r="L6" s="19">
        <f>SUMIFS('5may'!$B$2:$B$97, '5may'!$A$2:$A$97, "*" &amp;L1&amp; "*")</f>
        <v>200</v>
      </c>
      <c r="M6" s="19">
        <f>SUMIFS('5may'!$B$2:$B$97, '5may'!$A$2:$A$97, "*" &amp;M1&amp; "*")</f>
        <v>250</v>
      </c>
      <c r="N6" s="19">
        <f>SUMIFS('5may'!$B$2:$B$97, '5may'!$A$2:$A$97, "*" &amp;N1&amp; "*")</f>
        <v>250</v>
      </c>
      <c r="O6" s="19">
        <f>SUMIFS('5may'!$B$2:$B$97, '5may'!$A$2:$A$97, "*" &amp;O1&amp; "*")</f>
        <v>130</v>
      </c>
      <c r="P6" s="19">
        <f>SUMIFS('5may'!$B$2:$B$97, '5may'!$A$2:$A$97, "*" &amp;P1&amp; "*")</f>
        <v>200</v>
      </c>
      <c r="R6" s="42"/>
    </row>
    <row r="7" spans="1:25" s="21" customFormat="1" x14ac:dyDescent="0.2">
      <c r="A7" s="67" t="s">
        <v>4</v>
      </c>
      <c r="B7" s="23">
        <f>SUMIFS('6jun'!$B$2:$B$99, '6jun'!$A$2:$A$99, "*" &amp;B1&amp; "*")</f>
        <v>338.99</v>
      </c>
      <c r="C7" s="19">
        <f>SUMIFS('6jun'!$B$2:$B$99, '6jun'!$A$2:$A$99, "*" &amp;C1&amp; "*")</f>
        <v>324</v>
      </c>
      <c r="D7" s="19">
        <f>SUMIFS('6jun'!$B$2:$B$99, '6jun'!$A$2:$A$99, "*" &amp;D1&amp; "*")</f>
        <v>0</v>
      </c>
      <c r="E7" s="19">
        <f>SUMIFS('6jun'!$B$2:$B$99, '6jun'!$A$2:$A$99, "*" &amp;E1&amp; "*")</f>
        <v>0</v>
      </c>
      <c r="F7" s="19">
        <f>SUMIFS('6jun'!$B$2:$B$99, '6jun'!$A$2:$A$99, "*" &amp;F1&amp; "*")</f>
        <v>6400</v>
      </c>
      <c r="G7" s="19">
        <f>SUMIFS('6jun'!$B$2:$B$99, '6jun'!$A$2:$A$99, "*" &amp;G1&amp; "*")</f>
        <v>3844</v>
      </c>
      <c r="H7" s="19">
        <f>SUMIFS('6jun'!$B$2:$B$99, '6jun'!$A$2:$A$99, "*" &amp;H1&amp; "*")</f>
        <v>0</v>
      </c>
      <c r="I7" s="19">
        <f>SUMIFS('6jun'!$B$2:$B$99, '6jun'!$A$2:$A$99, "*" &amp;I1&amp; "*")</f>
        <v>0</v>
      </c>
      <c r="J7" s="19">
        <f>SUMIFS('6jun'!$B$2:$B$99, '6jun'!$A$2:$A$99, "*" &amp;J1&amp; "*")</f>
        <v>1799</v>
      </c>
      <c r="K7" s="19">
        <f>SUMIFS('6jun'!$B$2:$B$99, '6jun'!$A$2:$A$99, "*" &amp;K1&amp; "*")</f>
        <v>247</v>
      </c>
      <c r="L7" s="19">
        <f>SUMIFS('6jun'!$B$2:$B$99, '6jun'!$A$2:$A$99, "*" &amp;L1&amp; "*")</f>
        <v>560.20000000000005</v>
      </c>
      <c r="M7" s="19">
        <f>SUMIFS('6jun'!$B$2:$B$99, '6jun'!$A$2:$A$99, "*" &amp;M1&amp; "*")</f>
        <v>91</v>
      </c>
      <c r="N7" s="19">
        <f>SUMIFS('6jun'!$B$2:$B$99, '6jun'!$A$2:$A$99, "*" &amp;N1&amp; "*")</f>
        <v>920</v>
      </c>
      <c r="O7" s="19">
        <f>SUMIFS('6jun'!$B$2:$B$99, '6jun'!$A$2:$A$99, "*" &amp;O1&amp; "*")</f>
        <v>0</v>
      </c>
      <c r="P7" s="19">
        <f>SUMIFS('6jun'!$B$2:$B$99, '6jun'!$A$2:$A$99, "*" &amp;P1&amp; "*")</f>
        <v>0</v>
      </c>
      <c r="R7" s="42"/>
    </row>
    <row r="8" spans="1:25" s="21" customFormat="1" x14ac:dyDescent="0.2">
      <c r="A8" s="67" t="s">
        <v>5</v>
      </c>
      <c r="B8" s="23">
        <f>SUMIFS('7jul'!$C$2:$C$100, '7jul'!$B$2:$B$100, "*" &amp;B1&amp; "*")</f>
        <v>0</v>
      </c>
      <c r="C8" s="19">
        <f>SUMIFS('7jul'!$C$2:$C$100, '7jul'!$B$2:$B$100, "*" &amp;C1&amp; "*")</f>
        <v>500</v>
      </c>
      <c r="D8" s="19">
        <f>SUMIFS('7jul'!$C$2:$C$100, '7jul'!$B$2:$B$100, "*" &amp;D1&amp; "*")</f>
        <v>1074</v>
      </c>
      <c r="E8" s="19">
        <f>SUMIFS('7jul'!$C$2:$C$100, '7jul'!$B$2:$B$100, "*" &amp;E1&amp; "*")</f>
        <v>0</v>
      </c>
      <c r="F8" s="19">
        <f>SUMIFS('7jul'!$C$2:$C$100, '7jul'!$B$2:$B$100, "*" &amp;F1&amp; "*")</f>
        <v>0</v>
      </c>
      <c r="G8" s="19">
        <f>SUMIFS('7jul'!$C$2:$C$100, '7jul'!$B$2:$B$100, "*" &amp;G1&amp; "*")</f>
        <v>50</v>
      </c>
      <c r="H8" s="19">
        <f>SUMIFS('7jul'!$C$2:$C$100, '7jul'!$B$2:$B$100, "*" &amp;H1&amp; "*")</f>
        <v>520</v>
      </c>
      <c r="I8" s="19">
        <f>SUMIFS('7jul'!$C$2:$C$100, '7jul'!$B$2:$B$100, "*" &amp;I1&amp; "*")</f>
        <v>6200</v>
      </c>
      <c r="J8" s="19">
        <f>SUMIFS('7jul'!$C$2:$C$100, '7jul'!$B$2:$B$100, "*" &amp;J1&amp; "*")</f>
        <v>5000</v>
      </c>
      <c r="K8" s="19">
        <f>SUMIFS('7jul'!$C$2:$C$100, '7jul'!$B$2:$B$100, "*" &amp;K1&amp; "*")</f>
        <v>0</v>
      </c>
      <c r="L8" s="19">
        <f>SUMIFS('7jul'!$C$2:$C$100, '7jul'!$B$2:$B$100, "*" &amp;L1&amp; "*")</f>
        <v>0</v>
      </c>
      <c r="M8" s="19">
        <f>SUMIFS('7jul'!$C$2:$C$100, '7jul'!$B$2:$B$100, "*" &amp;M1&amp; "*")</f>
        <v>0</v>
      </c>
      <c r="N8" s="19">
        <f>SUMIFS('7jul'!$C$2:$C$100, '7jul'!$B$2:$B$100, "*" &amp;N1&amp; "*")</f>
        <v>0</v>
      </c>
      <c r="O8" s="19">
        <f>SUMIFS('7jul'!$C$2:$C$100, '7jul'!$B$2:$B$100, "*" &amp;O1&amp; "*")</f>
        <v>0</v>
      </c>
      <c r="P8" s="19">
        <f>SUMIFS('7jul'!$C$2:$C$100, '7jul'!$B$2:$B$100, "*" &amp;P1&amp; "*")</f>
        <v>0</v>
      </c>
      <c r="R8" s="42"/>
    </row>
    <row r="9" spans="1:25" s="21" customFormat="1" x14ac:dyDescent="0.2">
      <c r="A9" s="67" t="s">
        <v>6</v>
      </c>
      <c r="B9" s="23">
        <f>SUMIFS('8aug'!$B$2:$B$99, '8aug'!$A$2:$A$99, "*" &amp;B1&amp; "*")</f>
        <v>1329</v>
      </c>
      <c r="C9" s="19">
        <f>SUMIFS('8aug'!$B$2:$B$99, '8aug'!$A$2:$A$99, "*" &amp;C1&amp; "*")</f>
        <v>832</v>
      </c>
      <c r="D9" s="19">
        <f>SUMIFS('8aug'!$B$2:$B$99, '8aug'!$A$2:$A$99, "*" &amp;D1&amp; "*")</f>
        <v>171</v>
      </c>
      <c r="E9" s="19">
        <f>SUMIFS('8aug'!$B$2:$B$99, '8aug'!$A$2:$A$99, "*" &amp;E1&amp; "*")</f>
        <v>6500</v>
      </c>
      <c r="F9" s="19">
        <f>SUMIFS('8aug'!$B$2:$B$99, '8aug'!$A$2:$A$99, "*" &amp;F1&amp; "*")</f>
        <v>0</v>
      </c>
      <c r="G9" s="19">
        <f>SUMIFS('8aug'!$B$2:$B$99, '8aug'!$A$2:$A$99, "*" &amp;G1&amp; "*")</f>
        <v>769</v>
      </c>
      <c r="H9" s="19">
        <f>SUMIFS('8aug'!$B$2:$B$99, '8aug'!$A$2:$A$99, "*" &amp;H1&amp; "*")</f>
        <v>0</v>
      </c>
      <c r="I9" s="19">
        <f>SUMIFS('8aug'!$B$2:$B$99, '8aug'!$A$2:$A$99, "*" &amp;I1&amp; "*")</f>
        <v>1</v>
      </c>
      <c r="J9" s="19">
        <f>SUMIFS('8aug'!$B$2:$B$99, '8aug'!$A$2:$A$99, "*" &amp;J1&amp; "*")</f>
        <v>6271</v>
      </c>
      <c r="K9" s="19">
        <f>SUMIFS('8aug'!$B$2:$B$99, '8aug'!$A$2:$A$99, "*" &amp;K1&amp; "*")</f>
        <v>0</v>
      </c>
      <c r="L9" s="19">
        <f>SUMIFS('8aug'!$B$2:$B$99, '8aug'!$A$2:$A$99, "*" &amp;L1&amp; "*")</f>
        <v>0</v>
      </c>
      <c r="M9" s="19">
        <f>SUMIFS('8aug'!$B$2:$B$99, '8aug'!$A$2:$A$99, "*" &amp;M1&amp; "*")</f>
        <v>0</v>
      </c>
      <c r="N9" s="19">
        <f>SUMIFS('8aug'!$B$2:$B$99, '8aug'!$A$2:$A$99, "*" &amp;N1&amp; "*")</f>
        <v>0</v>
      </c>
      <c r="O9" s="19">
        <f>SUMIFS('8aug'!$B$2:$B$99, '8aug'!$A$2:$A$99, "*" &amp;O1&amp; "*")</f>
        <v>0</v>
      </c>
      <c r="P9" s="19">
        <f>SUMIFS('8aug'!$B$2:$B$99, '8aug'!$A$2:$A$99, "*" &amp;P1&amp; "*")</f>
        <v>0</v>
      </c>
      <c r="R9" s="42"/>
    </row>
    <row r="10" spans="1:25" s="21" customFormat="1" x14ac:dyDescent="0.2">
      <c r="A10" s="67" t="s">
        <v>7</v>
      </c>
      <c r="B10" s="23">
        <f>SUMIFS('9sep'!$C$2:$C$98, '9sep'!$B$2:$B$98, "*" &amp;B1&amp; "*")</f>
        <v>0</v>
      </c>
      <c r="C10" s="19">
        <f>SUMIFS('9sep'!$C$2:$C$98, '9sep'!$B$2:$B$98, "*" &amp;C1&amp; "*")</f>
        <v>5000</v>
      </c>
      <c r="D10" s="19">
        <f>SUMIFS('9sep'!$C$2:$C$98, '9sep'!$B$2:$B$98, "*" &amp;D1&amp; "*")</f>
        <v>6000</v>
      </c>
      <c r="E10" s="19">
        <f>SUMIFS('9sep'!$C$2:$C$98, '9sep'!$B$2:$B$98, "*" &amp;E1&amp; "*")</f>
        <v>0</v>
      </c>
      <c r="F10" s="19">
        <f>SUMIFS('9sep'!$C$2:$C$98, '9sep'!$B$2:$B$98, "*" &amp;F1&amp; "*")</f>
        <v>100</v>
      </c>
      <c r="G10" s="19">
        <f>SUMIFS('9sep'!$C$2:$C$98, '9sep'!$B$2:$B$98, "*" &amp;G1&amp; "*")</f>
        <v>0</v>
      </c>
      <c r="H10" s="19">
        <f>SUMIFS('9sep'!$C$2:$C$98, '9sep'!$B$2:$B$98, "*" &amp;H1&amp; "*")</f>
        <v>0</v>
      </c>
      <c r="I10" s="19">
        <f>SUMIFS('9sep'!$C$2:$C$98, '9sep'!$B$2:$B$98, "*" &amp;I1&amp; "*")</f>
        <v>0</v>
      </c>
      <c r="J10" s="19">
        <f>SUMIFS('9sep'!$C$2:$C$98, '9sep'!$B$2:$B$98, "*" &amp;J1&amp; "*")</f>
        <v>500</v>
      </c>
      <c r="K10" s="19">
        <f>SUMIFS('9sep'!$C$2:$C$98, '9sep'!$B$2:$B$98, "*" &amp;K1&amp; "*")</f>
        <v>80</v>
      </c>
      <c r="L10" s="19">
        <f>SUMIFS('9sep'!$C$2:$C$98, '9sep'!$B$2:$B$98, "*" &amp;L1&amp; "*")</f>
        <v>365</v>
      </c>
      <c r="M10" s="19">
        <f>SUMIFS('9sep'!$C$2:$C$98, '9sep'!$B$2:$B$98, "*" &amp;M1&amp; "*")</f>
        <v>726</v>
      </c>
      <c r="N10" s="19">
        <f>SUMIFS('9sep'!$C$2:$C$98, '9sep'!$B$2:$B$98, "*" &amp;N1&amp; "*")</f>
        <v>100</v>
      </c>
      <c r="O10" s="19">
        <f>SUMIFS('9sep'!$C$2:$C$98, '9sep'!$B$2:$B$98, "*" &amp;O1&amp; "*")</f>
        <v>3</v>
      </c>
      <c r="P10" s="19">
        <f>SUMIFS('9sep'!$C$2:$C$98, '9sep'!$B$2:$B$98, "*" &amp;P1&amp; "*")</f>
        <v>0</v>
      </c>
      <c r="R10" s="42"/>
    </row>
    <row r="11" spans="1:25" s="21" customFormat="1" x14ac:dyDescent="0.2">
      <c r="A11" s="67" t="s">
        <v>8</v>
      </c>
      <c r="B11" s="23">
        <f>SUMIFS('10oct'!$B$2:$B$51, '10oct'!$A$2:$A$51, "*" &amp;B1&amp; "*")</f>
        <v>60</v>
      </c>
      <c r="C11" s="19">
        <f>SUMIFS('10oct'!$B$2:$B$51, '10oct'!$A$2:$A$51, "*" &amp;C1&amp; "*")</f>
        <v>300</v>
      </c>
      <c r="D11" s="19">
        <f>SUMIFS('10oct'!$B$2:$B$51, '10oct'!$A$2:$A$51, "*" &amp;D1&amp; "*")</f>
        <v>0</v>
      </c>
      <c r="E11" s="19">
        <f>SUMIFS('10oct'!$B$2:$B$51, '10oct'!$A$2:$A$51, "*" &amp;E1&amp; "*")</f>
        <v>120</v>
      </c>
      <c r="F11" s="19">
        <f>SUMIFS('10oct'!$B$2:$B$51, '10oct'!$A$2:$A$51, "*" &amp;F1&amp; "*")</f>
        <v>0</v>
      </c>
      <c r="G11" s="19">
        <f>SUMIFS('10oct'!$B$2:$B$51, '10oct'!$A$2:$A$51, "*" &amp;G1&amp; "*")</f>
        <v>0</v>
      </c>
      <c r="H11" s="19">
        <f>SUMIFS('10oct'!$B$2:$B$51, '10oct'!$A$2:$A$51, "*" &amp;H1&amp; "*")</f>
        <v>0</v>
      </c>
      <c r="I11" s="19">
        <f>SUMIFS('10oct'!$B$2:$B$51, '10oct'!$A$2:$A$51, "*" &amp;I1&amp; "*")</f>
        <v>200</v>
      </c>
      <c r="J11" s="19">
        <f>SUMIFS('10oct'!$B$2:$B$51, '10oct'!$A$2:$A$51, "*" &amp;J1&amp; "*")</f>
        <v>0</v>
      </c>
      <c r="K11" s="19">
        <f>SUMIFS('10oct'!$B$2:$B$51, '10oct'!$A$2:$A$51, "*" &amp;K1&amp; "*")</f>
        <v>6000</v>
      </c>
      <c r="L11" s="19">
        <f>SUMIFS('10oct'!$B$2:$B$51, '10oct'!$A$2:$A$51, "*" &amp;L1&amp; "*")</f>
        <v>5000</v>
      </c>
      <c r="M11" s="19">
        <f>SUMIFS('10oct'!$B$2:$B$51, '10oct'!$A$2:$A$51, "*" &amp;M1&amp; "*")</f>
        <v>763.05</v>
      </c>
      <c r="N11" s="19">
        <f>SUMIFS('10oct'!$B$2:$B$51, '10oct'!$A$2:$A$51, "*" &amp;N1&amp; "*")</f>
        <v>169.1</v>
      </c>
      <c r="O11" s="19">
        <f>SUMIFS('10oct'!$B$2:$B$51, '10oct'!$A$2:$A$51, "*" &amp;O1&amp; "*")</f>
        <v>0</v>
      </c>
      <c r="P11" s="19">
        <f>SUMIFS('10oct'!$B$2:$B$51, '10oct'!$A$2:$A$51, "*" &amp;P1&amp; "*")</f>
        <v>0</v>
      </c>
      <c r="R11" s="42"/>
    </row>
    <row r="12" spans="1:25" s="21" customFormat="1" x14ac:dyDescent="0.2">
      <c r="A12" s="67" t="s">
        <v>9</v>
      </c>
      <c r="B12" s="23">
        <f>SUMIFS('11nov'!$B$2:$B$100, '11nov'!$A$2:$A$100, "*" &amp;B1&amp; "*")</f>
        <v>0</v>
      </c>
      <c r="C12" s="19">
        <f>SUMIFS('11nov'!$B$2:$B$100, '11nov'!$A$2:$A$100, "*" &amp;C1&amp; "*")</f>
        <v>0</v>
      </c>
      <c r="D12" s="19">
        <f>SUMIFS('11nov'!$B$2:$B$100, '11nov'!$A$2:$A$100, "*" &amp;D1&amp; "*")</f>
        <v>0</v>
      </c>
      <c r="E12" s="19">
        <f>SUMIFS('11nov'!$B$2:$B$100, '11nov'!$A$2:$A$100, "*" &amp;E1&amp; "*")</f>
        <v>0</v>
      </c>
      <c r="F12" s="19">
        <f>SUMIFS('11nov'!$B$2:$B$100, '11nov'!$A$2:$A$100, "*" &amp;F1&amp; "*")</f>
        <v>0</v>
      </c>
      <c r="G12" s="19">
        <f>SUMIFS('11nov'!$B$2:$B$100, '11nov'!$A$2:$A$100, "*" &amp;G1&amp; "*")</f>
        <v>743</v>
      </c>
      <c r="H12" s="19">
        <f>SUMIFS('11nov'!$B$2:$B$100, '11nov'!$A$2:$A$100, "*" &amp;H1&amp; "*")</f>
        <v>50</v>
      </c>
      <c r="I12" s="19">
        <f>SUMIFS('11nov'!$B$2:$B$100, '11nov'!$A$2:$A$100, "*" &amp;I1&amp; "*")</f>
        <v>0</v>
      </c>
      <c r="J12" s="19">
        <f>SUMIFS('11nov'!$B$2:$B$100, '11nov'!$A$2:$A$100, "*" &amp;J1&amp; "*")</f>
        <v>0</v>
      </c>
      <c r="K12" s="19">
        <f>SUMIFS('11nov'!$B$2:$B$100, '11nov'!$A$2:$A$100, "*" &amp;K1&amp; "*")</f>
        <v>0</v>
      </c>
      <c r="L12" s="19">
        <f>SUMIFS('11nov'!$B$2:$B$100, '11nov'!$A$2:$A$100, "*" &amp;L1&amp; "*")</f>
        <v>0</v>
      </c>
      <c r="M12" s="19">
        <f>SUMIFS('11nov'!$B$2:$B$100, '11nov'!$A$2:$A$100, "*" &amp;M1&amp; "*")</f>
        <v>0</v>
      </c>
      <c r="N12" s="19">
        <f>SUMIFS('11nov'!$B$2:$B$100, '11nov'!$A$2:$A$100, "*" &amp;N1&amp; "*")</f>
        <v>0</v>
      </c>
      <c r="O12" s="19">
        <f>SUMIFS('11nov'!$B$2:$B$100, '11nov'!$A$2:$A$100, "*" &amp;O1&amp; "*")</f>
        <v>0</v>
      </c>
      <c r="P12" s="19">
        <f>SUMIFS('11nov'!$B$2:$B$100, '11nov'!$A$2:$A$100, "*" &amp;P1&amp; "*")</f>
        <v>0</v>
      </c>
      <c r="R12" s="42"/>
    </row>
    <row r="13" spans="1:25" s="21" customFormat="1" x14ac:dyDescent="0.2">
      <c r="A13" s="67" t="s">
        <v>10</v>
      </c>
      <c r="B13" s="23">
        <f>SUMIFS('12dec'!$B$8:$B$100, '12dec'!$A$8:$A$100, "*" &amp;B1&amp; "*")</f>
        <v>0</v>
      </c>
      <c r="C13" s="19">
        <f>SUMIFS('12dec'!$B$8:$B$100, '12dec'!$A$8:$A$100, "*" &amp;C1&amp; "*")</f>
        <v>0</v>
      </c>
      <c r="D13" s="19">
        <f>SUMIFS('12dec'!$B$8:$B$100, '12dec'!$A$8:$A$100, "*" &amp;D1&amp; "*")</f>
        <v>0</v>
      </c>
      <c r="E13" s="19">
        <f>SUMIFS('12dec'!$B$8:$B$100, '12dec'!$A$8:$A$100, "*" &amp;E1&amp; "*")</f>
        <v>0</v>
      </c>
      <c r="F13" s="19">
        <f>SUMIFS('12dec'!$B$8:$B$100, '12dec'!$A$8:$A$100, "*" &amp;F1&amp; "*")</f>
        <v>0</v>
      </c>
      <c r="G13" s="19">
        <f>SUMIFS('12dec'!$B$8:$B$100, '12dec'!$A$8:$A$100, "*" &amp;G1&amp; "*")</f>
        <v>76</v>
      </c>
      <c r="H13" s="19">
        <f>SUMIFS('12dec'!$B$8:$B$100, '12dec'!$A$8:$A$100, "*" &amp;H1&amp; "*")</f>
        <v>0</v>
      </c>
      <c r="I13" s="19">
        <f>SUMIFS('12dec'!$B$8:$B$100, '12dec'!$A$8:$A$100, "*" &amp;I1&amp; "*")</f>
        <v>0</v>
      </c>
      <c r="J13" s="19">
        <f>SUMIFS('12dec'!$B$8:$B$100, '12dec'!$A$8:$A$100, "*" &amp;J1&amp; "*")</f>
        <v>271</v>
      </c>
      <c r="K13" s="19">
        <f>SUMIFS('12dec'!$B$8:$B$100, '12dec'!$A$8:$A$100, "*" &amp;K1&amp; "*")</f>
        <v>0</v>
      </c>
      <c r="L13" s="19">
        <f>SUMIFS('12dec'!$B$8:$B$100, '12dec'!$A$8:$A$100, "*" &amp;L1&amp; "*")</f>
        <v>0</v>
      </c>
      <c r="M13" s="19">
        <f>SUMIFS('12dec'!$B$8:$B$100, '12dec'!$A$8:$A$100, "*" &amp;M1&amp; "*")</f>
        <v>0</v>
      </c>
      <c r="N13" s="19">
        <f>SUMIFS('12dec'!$B$8:$B$100, '12dec'!$A$8:$A$100, "*" &amp;N1&amp; "*")</f>
        <v>0</v>
      </c>
      <c r="O13" s="19">
        <f>SUMIFS('12dec'!$B$8:$B$100, '12dec'!$A$8:$A$100, "*" &amp;O1&amp; "*")</f>
        <v>0</v>
      </c>
      <c r="P13" s="19">
        <f>SUMIFS('12dec'!$B$8:$B$100, '12dec'!$A$8:$A$100, "*" &amp;P1&amp; "*")</f>
        <v>0</v>
      </c>
      <c r="R13" s="42"/>
    </row>
    <row r="14" spans="1:25" s="21" customFormat="1" x14ac:dyDescent="0.2">
      <c r="A14" s="67"/>
      <c r="B14" s="23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1:25" s="66" customFormat="1" ht="37.5" outlineLevel="1" x14ac:dyDescent="0.3">
      <c r="A15" s="64" t="s">
        <v>26</v>
      </c>
      <c r="B15" s="65">
        <f>SUM(B2:B13)</f>
        <v>3883.99</v>
      </c>
      <c r="C15" s="65">
        <f t="shared" ref="C15:I15" si="0">SUM(C2:C13)</f>
        <v>11201</v>
      </c>
      <c r="D15" s="65">
        <f t="shared" si="0"/>
        <v>10279</v>
      </c>
      <c r="E15" s="65">
        <f t="shared" si="0"/>
        <v>9304</v>
      </c>
      <c r="F15" s="65">
        <f t="shared" si="0"/>
        <v>10718</v>
      </c>
      <c r="G15" s="65">
        <f t="shared" si="0"/>
        <v>11698.8</v>
      </c>
      <c r="H15" s="65">
        <f t="shared" si="0"/>
        <v>7384.15</v>
      </c>
      <c r="I15" s="65">
        <f t="shared" si="0"/>
        <v>16856.2</v>
      </c>
      <c r="J15" s="65">
        <f>SUM(J2:J13)</f>
        <v>52272</v>
      </c>
      <c r="K15" s="65">
        <f t="shared" ref="K15:M15" si="1">SUM(K2:K13)</f>
        <v>7357</v>
      </c>
      <c r="L15" s="65">
        <f t="shared" si="1"/>
        <v>6251.2</v>
      </c>
      <c r="M15" s="65">
        <f t="shared" si="1"/>
        <v>2097.0500000000002</v>
      </c>
      <c r="N15" s="65">
        <f t="shared" ref="N15" si="2">SUM(N2:N13)</f>
        <v>14638.1</v>
      </c>
      <c r="O15" s="65">
        <f>SUM(O2:O13)</f>
        <v>288</v>
      </c>
      <c r="P15" s="65">
        <f>SUM(P2:P13)</f>
        <v>200</v>
      </c>
    </row>
    <row r="16" spans="1:25" s="21" customFormat="1" x14ac:dyDescent="0.25">
      <c r="A16" s="67"/>
      <c r="B16" s="2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3"/>
      <c r="W16" s="2"/>
      <c r="X16" s="20"/>
      <c r="Y16" s="20"/>
    </row>
    <row r="17" spans="1:19" s="21" customFormat="1" x14ac:dyDescent="0.25">
      <c r="A17" s="68"/>
      <c r="B17" s="20"/>
    </row>
    <row r="18" spans="1:19" s="25" customFormat="1" x14ac:dyDescent="0.25">
      <c r="A18" s="69"/>
      <c r="B18" s="41"/>
    </row>
    <row r="19" spans="1:19" s="21" customFormat="1" x14ac:dyDescent="0.25">
      <c r="A19" s="70"/>
      <c r="B19" s="40"/>
    </row>
    <row r="20" spans="1:19" s="21" customFormat="1" x14ac:dyDescent="0.25">
      <c r="A20" s="70"/>
      <c r="B20" s="40"/>
    </row>
    <row r="21" spans="1:19" s="21" customFormat="1" x14ac:dyDescent="0.25">
      <c r="A21" s="70"/>
      <c r="B21" s="40"/>
    </row>
    <row r="22" spans="1:19" s="21" customFormat="1" x14ac:dyDescent="0.25">
      <c r="A22" s="70"/>
      <c r="B22" s="40"/>
    </row>
    <row r="23" spans="1:19" s="21" customFormat="1" x14ac:dyDescent="0.25">
      <c r="A23" s="70"/>
      <c r="B23" s="40"/>
    </row>
    <row r="24" spans="1:19" s="21" customFormat="1" x14ac:dyDescent="0.25">
      <c r="A24" s="70"/>
      <c r="B24" s="40"/>
    </row>
    <row r="25" spans="1:19" s="21" customFormat="1" x14ac:dyDescent="0.25">
      <c r="A25" s="70"/>
      <c r="B25" s="40"/>
    </row>
    <row r="26" spans="1:19" s="21" customFormat="1" x14ac:dyDescent="0.25">
      <c r="A26" s="70"/>
      <c r="B26" s="40"/>
    </row>
    <row r="27" spans="1:19" s="21" customFormat="1" x14ac:dyDescent="0.25">
      <c r="A27" s="70"/>
      <c r="B27" s="40"/>
    </row>
    <row r="28" spans="1:19" s="21" customFormat="1" x14ac:dyDescent="0.25">
      <c r="A28" s="70"/>
      <c r="B28" s="40"/>
    </row>
    <row r="29" spans="1:19" s="21" customFormat="1" x14ac:dyDescent="0.25">
      <c r="A29" s="70"/>
      <c r="B29" s="40"/>
    </row>
    <row r="30" spans="1:19" s="21" customFormat="1" x14ac:dyDescent="0.25">
      <c r="A30" s="70"/>
      <c r="B30" s="40"/>
    </row>
    <row r="31" spans="1:19" s="21" customFormat="1" x14ac:dyDescent="0.25">
      <c r="A31" s="71"/>
    </row>
    <row r="32" spans="1:19" s="21" customFormat="1" outlineLevel="1" x14ac:dyDescent="0.25">
      <c r="A32" s="72"/>
      <c r="B32" s="1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20"/>
    </row>
    <row r="33" spans="1:23" s="20" customFormat="1" x14ac:dyDescent="0.25">
      <c r="A33" s="72"/>
      <c r="B33" s="1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23" s="20" customFormat="1" x14ac:dyDescent="0.25">
      <c r="A34" s="72"/>
      <c r="B34" s="1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23" s="20" customFormat="1" x14ac:dyDescent="0.25">
      <c r="A35" s="72"/>
      <c r="B35" s="1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23" s="20" customFormat="1" x14ac:dyDescent="0.25">
      <c r="A36" s="72"/>
      <c r="B36" s="1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23" s="20" customFormat="1" x14ac:dyDescent="0.25">
      <c r="A37" s="72"/>
      <c r="B37" s="1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23" s="20" customFormat="1" x14ac:dyDescent="0.25">
      <c r="A38" s="72"/>
      <c r="B38" s="1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48" spans="1:23" x14ac:dyDescent="0.25">
      <c r="T48" s="20"/>
      <c r="U48" s="20"/>
      <c r="V48" s="20"/>
      <c r="W48" s="20"/>
    </row>
    <row r="49" spans="20:23" x14ac:dyDescent="0.25">
      <c r="T49" s="20"/>
      <c r="U49" s="20"/>
      <c r="V49" s="20"/>
      <c r="W49" s="20"/>
    </row>
    <row r="50" spans="20:23" x14ac:dyDescent="0.25">
      <c r="T50" s="20"/>
      <c r="U50" s="20"/>
      <c r="V50" s="20"/>
      <c r="W50" s="20"/>
    </row>
    <row r="51" spans="20:23" x14ac:dyDescent="0.25">
      <c r="T51" s="20"/>
      <c r="U51" s="20"/>
      <c r="V51" s="20"/>
      <c r="W51" s="20"/>
    </row>
    <row r="52" spans="20:23" x14ac:dyDescent="0.25">
      <c r="T52" s="20"/>
      <c r="U52" s="20"/>
      <c r="V52" s="20"/>
      <c r="W52" s="20"/>
    </row>
    <row r="53" spans="20:23" x14ac:dyDescent="0.25">
      <c r="T53" s="20"/>
      <c r="U53" s="20"/>
      <c r="V53" s="20"/>
      <c r="W53" s="20"/>
    </row>
    <row r="54" spans="20:23" x14ac:dyDescent="0.25">
      <c r="T54" s="20"/>
      <c r="U54" s="20"/>
      <c r="V54" s="20"/>
      <c r="W54" s="20"/>
    </row>
    <row r="55" spans="20:23" x14ac:dyDescent="0.25">
      <c r="T55" s="20"/>
      <c r="U55" s="20"/>
      <c r="V55" s="20"/>
      <c r="W55" s="20"/>
    </row>
    <row r="56" spans="20:23" x14ac:dyDescent="0.25">
      <c r="T56" s="20"/>
      <c r="U56" s="20"/>
      <c r="V56" s="20"/>
      <c r="W56" s="20"/>
    </row>
    <row r="57" spans="20:23" x14ac:dyDescent="0.25">
      <c r="T57" s="20"/>
      <c r="U57" s="20"/>
      <c r="V57" s="20"/>
      <c r="W57" s="20"/>
    </row>
    <row r="58" spans="20:23" x14ac:dyDescent="0.25">
      <c r="T58" s="20"/>
      <c r="U58" s="20"/>
      <c r="V58" s="20"/>
      <c r="W58" s="20"/>
    </row>
    <row r="59" spans="20:23" x14ac:dyDescent="0.25">
      <c r="T59" s="20"/>
      <c r="U59" s="20"/>
      <c r="V59" s="20"/>
      <c r="W59" s="20"/>
    </row>
    <row r="60" spans="20:23" x14ac:dyDescent="0.25">
      <c r="T60" s="20"/>
      <c r="U60" s="20"/>
      <c r="V60" s="20"/>
      <c r="W60" s="20"/>
    </row>
    <row r="61" spans="20:23" x14ac:dyDescent="0.25">
      <c r="T61" s="20"/>
      <c r="U61" s="20"/>
      <c r="V61" s="20"/>
      <c r="W61" s="20"/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90BA2-703E-4191-9959-B64D97039AFB}">
  <sheetPr codeName="Sheet16">
    <tabColor rgb="FF92D050"/>
  </sheetPr>
  <dimension ref="A1:H19"/>
  <sheetViews>
    <sheetView zoomScale="82" zoomScaleNormal="82" workbookViewId="0">
      <selection activeCell="A16" sqref="A16"/>
    </sheetView>
  </sheetViews>
  <sheetFormatPr defaultRowHeight="18.75" x14ac:dyDescent="0.3"/>
  <cols>
    <col min="1" max="1" width="20.85546875" style="51" customWidth="1"/>
    <col min="2" max="2" width="12.28515625" customWidth="1"/>
    <col min="3" max="3" width="15.42578125" bestFit="1" customWidth="1"/>
    <col min="4" max="4" width="12.28515625" bestFit="1" customWidth="1"/>
    <col min="5" max="5" width="26.85546875" bestFit="1" customWidth="1"/>
    <col min="6" max="6" width="16.85546875" bestFit="1" customWidth="1"/>
    <col min="7" max="7" width="30.85546875" bestFit="1" customWidth="1"/>
    <col min="8" max="8" width="14.7109375" bestFit="1" customWidth="1"/>
    <col min="9" max="9" width="12.5703125" bestFit="1" customWidth="1"/>
    <col min="10" max="10" width="11.140625" bestFit="1" customWidth="1"/>
    <col min="11" max="11" width="9" bestFit="1" customWidth="1"/>
  </cols>
  <sheetData>
    <row r="1" spans="1:8" s="51" customFormat="1" x14ac:dyDescent="0.3">
      <c r="B1" s="52" t="s">
        <v>20</v>
      </c>
      <c r="C1" s="52" t="s">
        <v>70</v>
      </c>
      <c r="D1" s="52" t="s">
        <v>47</v>
      </c>
      <c r="E1" s="53" t="s">
        <v>71</v>
      </c>
    </row>
    <row r="3" spans="1:8" x14ac:dyDescent="0.25">
      <c r="A3" s="74" t="s">
        <v>0</v>
      </c>
      <c r="B3" s="4">
        <f>SUMIFS('1jan'!$C$2:$C$100, '1jan'!$A$2:$A$100, "*" &amp;B1&amp; "*")</f>
        <v>0</v>
      </c>
      <c r="C3" s="4">
        <f>SUMIFS('1jan'!$C$2:$C$100, '1jan'!$A$2:$A$100, "*" &amp;C1&amp; "*")</f>
        <v>10000</v>
      </c>
      <c r="D3" s="4">
        <f>SUMIFS('1jan'!$C$2:$C$100, '1jan'!$A$2:$A$100, "*" &amp;D1&amp; "*")</f>
        <v>0</v>
      </c>
      <c r="E3" s="4">
        <f>SUMIFS('1jan'!$C$2:$C$100, '1jan'!$A$2:$A$100, "*" &amp;E1&amp; "*")</f>
        <v>4267.87</v>
      </c>
    </row>
    <row r="4" spans="1:8" x14ac:dyDescent="0.25">
      <c r="A4" s="74" t="s">
        <v>12</v>
      </c>
      <c r="B4" s="4">
        <f>SUMIFS('2feb'!$C$3:$C$101, '2feb'!$A$3:$A$101, "*" &amp;B1&amp; "*")</f>
        <v>154.88</v>
      </c>
      <c r="C4" s="4">
        <f>SUMIFS('2feb'!$C$3:$C$101, '2feb'!$A$3:$A$101, "*" &amp;C1&amp; "*")</f>
        <v>10000</v>
      </c>
      <c r="D4" s="4">
        <f>SUMIFS('2feb'!$C$3:$C$101, '2feb'!$A$3:$A$101, "*" &amp;D1&amp; "*")</f>
        <v>473</v>
      </c>
      <c r="E4" s="4">
        <f>SUMIFS('2feb'!$C$3:$C$101, '2feb'!$A$3:$A$101, "*" &amp;E1&amp; "*")</f>
        <v>1632</v>
      </c>
    </row>
    <row r="5" spans="1:8" x14ac:dyDescent="0.25">
      <c r="A5" s="74" t="s">
        <v>1</v>
      </c>
      <c r="B5" s="4">
        <f>SUMIFS('3mar'!$C$2:$C$98, '3mar'!$A$2:$A$98, "*" &amp;B1&amp; "*")</f>
        <v>30</v>
      </c>
      <c r="C5" s="4">
        <f>SUMIFS('3mar'!$C$2:$C$98, '3mar'!$A$2:$A$98, "*" &amp;C1&amp; "*")</f>
        <v>20000</v>
      </c>
      <c r="D5" s="4">
        <f>SUMIFS('3mar'!$C$2:$C$98, '3mar'!$A$2:$A$98, "*" &amp;D1&amp; "*")</f>
        <v>0</v>
      </c>
      <c r="E5" s="4">
        <f>SUMIFS('3mar'!$C$2:$C$98, '3mar'!$A$2:$A$98, "*" &amp;E1&amp; "*")</f>
        <v>9500</v>
      </c>
    </row>
    <row r="6" spans="1:8" x14ac:dyDescent="0.25">
      <c r="A6" s="74" t="s">
        <v>2</v>
      </c>
      <c r="B6" s="4">
        <f>SUMIFS('4apr'!$C$2:$C$100, '4apr'!$A$2:$A$100, "*" &amp;B1&amp; "*")</f>
        <v>0</v>
      </c>
      <c r="C6" s="4">
        <f>SUMIFS('4apr'!$C$2:$C$100, '4apr'!$A$2:$A$100, "*" &amp;C1&amp; "*")</f>
        <v>10000</v>
      </c>
      <c r="D6" s="4">
        <f>SUMIFS('4apr'!$C$2:$C$100, '4apr'!$A$2:$A$100, "*" &amp;D1&amp; "*")</f>
        <v>391</v>
      </c>
      <c r="E6" s="4">
        <f>SUMIFS('4apr'!$C$2:$C$100, '4apr'!$A$2:$A$100, "*" &amp;E1&amp; "*")</f>
        <v>205</v>
      </c>
    </row>
    <row r="7" spans="1:8" x14ac:dyDescent="0.25">
      <c r="A7" s="74" t="s">
        <v>3</v>
      </c>
      <c r="B7" s="4">
        <f>SUMIFS('5may'!$C$2:$C$97, '5may'!$A$2:$A$97, "*" &amp;B1&amp; "*")</f>
        <v>0</v>
      </c>
      <c r="C7" s="4">
        <f>SUMIFS('5may'!$C$2:$C$97, '5may'!$A$2:$A$97, "*" &amp;C1&amp; "*")</f>
        <v>10000</v>
      </c>
      <c r="D7" s="4">
        <f>SUMIFS('5may'!$C$2:$C$97, '5may'!$A$2:$A$97, "*" &amp;D1&amp; "*")</f>
        <v>1000</v>
      </c>
      <c r="E7" s="4">
        <f>SUMIFS('5may'!$C$2:$C$97, '5may'!$A$2:$A$97, "*" &amp;E1&amp; "*")</f>
        <v>499</v>
      </c>
    </row>
    <row r="8" spans="1:8" x14ac:dyDescent="0.25">
      <c r="A8" s="74" t="s">
        <v>4</v>
      </c>
      <c r="B8" s="4">
        <f>SUMIFS('6jun'!$C$2:$C$99, '6jun'!$A$2:$A$99, "*" &amp;B1&amp; "*")</f>
        <v>388</v>
      </c>
      <c r="C8" s="4">
        <f>SUMIFS('6jun'!$C$2:$C$99, '6jun'!$A$2:$A$99, "*" &amp;C1&amp; "*")</f>
        <v>7275.37</v>
      </c>
      <c r="D8" s="4">
        <f>SUMIFS('6jun'!$C$2:$C$99, '6jun'!$A$2:$A$99, "*" &amp;D1&amp; "*")</f>
        <v>100</v>
      </c>
      <c r="E8" s="4">
        <f>SUMIFS('6jun'!$C$2:$C$99, '6jun'!$A$2:$A$99, "*" &amp;E1&amp; "*")</f>
        <v>0</v>
      </c>
    </row>
    <row r="9" spans="1:8" x14ac:dyDescent="0.25">
      <c r="A9" s="74" t="s">
        <v>5</v>
      </c>
      <c r="B9" s="4">
        <f>SUMIFS('7jul'!$D$2:$D$100, '7jul'!$B$2:$B$100, "*" &amp;B1&amp; "*")</f>
        <v>0</v>
      </c>
      <c r="C9" s="4">
        <f>SUMIFS('7jul'!$D$2:$D$100, '7jul'!$B$2:$B$100, "*" &amp;C1&amp; "*")</f>
        <v>50000</v>
      </c>
      <c r="D9" s="4">
        <f>SUMIFS('7jul'!$D$2:$D$100, '7jul'!$B$2:$B$100, "*" &amp;D1&amp; "*")</f>
        <v>328</v>
      </c>
      <c r="E9" s="4">
        <f>SUMIFS('7jul'!$D$2:$D$100, '7jul'!$B$2:$B$100, "*" &amp;E1&amp; "*")</f>
        <v>10087.41</v>
      </c>
    </row>
    <row r="10" spans="1:8" x14ac:dyDescent="0.25">
      <c r="A10" s="74" t="s">
        <v>6</v>
      </c>
      <c r="B10" s="4">
        <f>SUMIFS('8aug'!$C$2:$C$99, '8aug'!$A$2:$A$99, "*" &amp;B1&amp; "*")</f>
        <v>740</v>
      </c>
      <c r="C10" s="4">
        <f>SUMIFS('8aug'!$C$2:$C$99, '8aug'!$A$2:$A$99, "*" &amp;C1&amp; "*")</f>
        <v>10045</v>
      </c>
      <c r="D10" s="4">
        <f>SUMIFS('8aug'!$C$2:$C$99, '8aug'!$A$2:$A$99, "*" &amp;D1&amp; "*")</f>
        <v>77</v>
      </c>
      <c r="E10" s="4">
        <f>SUMIFS('8aug'!$C$2:$C$99, '8aug'!$A$2:$A$99, "*" &amp;E1&amp; "*")</f>
        <v>6001.2</v>
      </c>
    </row>
    <row r="11" spans="1:8" x14ac:dyDescent="0.25">
      <c r="A11" s="74" t="s">
        <v>7</v>
      </c>
      <c r="B11" s="4">
        <f>SUMIFS('9sep'!$D$2:$D$98, '9sep'!$B$2:$B$98, "*" &amp;B1&amp; "*")</f>
        <v>4868.6000000000004</v>
      </c>
      <c r="C11" s="4">
        <f>SUMIFS('9sep'!$D$2:$D$98, '9sep'!$B$2:$B$98, "*" &amp;C1&amp; "*")</f>
        <v>10000</v>
      </c>
      <c r="D11" s="4">
        <f>SUMIFS('9sep'!$D$2:$D$98, '9sep'!$B$2:$B$98, "*" &amp;D1&amp; "*")</f>
        <v>500</v>
      </c>
      <c r="E11" s="4">
        <f>SUMIFS('9sep'!$D$2:$D$98, '9sep'!$B$2:$B$98, "*" &amp;E1&amp; "*")</f>
        <v>15673.49</v>
      </c>
    </row>
    <row r="12" spans="1:8" x14ac:dyDescent="0.25">
      <c r="A12" s="74" t="s">
        <v>8</v>
      </c>
      <c r="B12" s="4">
        <f>SUMIFS('10oct'!$C$2:$C$51, '10oct'!$A$2:$A$51, "*" &amp;B1&amp; "*")</f>
        <v>26.6</v>
      </c>
      <c r="C12" s="4">
        <f>SUMIFS('10oct'!$C$2:$C$51, '10oct'!$A$2:$A$51, "*" &amp;C1&amp; "*")</f>
        <v>10000</v>
      </c>
      <c r="D12" s="4">
        <f>SUMIFS('10oct'!$C$2:$C$51, '10oct'!$A$2:$A$51, "*" &amp;D1&amp; "*")</f>
        <v>0</v>
      </c>
      <c r="E12" s="4">
        <f>SUMIFS('10oct'!$C$2:$C$51, '10oct'!$A$2:$A$51, "*" &amp;E1&amp; "*")</f>
        <v>5000</v>
      </c>
    </row>
    <row r="13" spans="1:8" x14ac:dyDescent="0.25">
      <c r="A13" s="74" t="s">
        <v>9</v>
      </c>
      <c r="B13" s="4">
        <f>SUMIFS('11nov'!$C$2:$C$100, '11nov'!$A$2:$A$100, "*" &amp;B1&amp; "*")</f>
        <v>725</v>
      </c>
      <c r="C13" s="4">
        <f>SUMIFS('11nov'!$C$2:$C$100, '11nov'!$A$2:$A$100, "*" &amp;C1&amp; "*")</f>
        <v>50045</v>
      </c>
      <c r="D13" s="4">
        <f>SUMIFS('11nov'!$C$2:$C$100, '11nov'!$A$2:$A$100, "*" &amp;D1&amp; "*")</f>
        <v>264</v>
      </c>
      <c r="E13" s="4">
        <f>SUMIFS('11nov'!$C$2:$C$100, '11nov'!$A$2:$A$100, "*" &amp;E1&amp; "*")</f>
        <v>10088.61</v>
      </c>
    </row>
    <row r="14" spans="1:8" x14ac:dyDescent="0.25">
      <c r="A14" s="74" t="s">
        <v>10</v>
      </c>
      <c r="B14" s="4">
        <f>SUMIFS('12dec'!$C$8:$C$100, '12dec'!$A$8:$A$100, "*" &amp;B1&amp; "*")</f>
        <v>15</v>
      </c>
      <c r="C14" s="4">
        <f>SUMIFS('12dec'!$C$8:$C$100, '12dec'!$A$8:$A$100, "*" &amp;C1&amp; "*")</f>
        <v>0</v>
      </c>
      <c r="D14" s="4">
        <f>SUMIFS('12dec'!$C$8:$C$100, '12dec'!$A$8:$A$100, "*" &amp;D1&amp; "*")</f>
        <v>76</v>
      </c>
      <c r="E14" s="4">
        <f>SUMIFS('12dec'!$C$8:$C$100, '12dec'!$A$8:$A$100, "*" &amp;E1&amp; "*")</f>
        <v>16000</v>
      </c>
    </row>
    <row r="15" spans="1:8" x14ac:dyDescent="0.25">
      <c r="A15" s="74"/>
    </row>
    <row r="16" spans="1:8" s="78" customFormat="1" x14ac:dyDescent="0.3">
      <c r="A16" s="79" t="s">
        <v>39</v>
      </c>
      <c r="B16" s="76">
        <f>SUM(B3:B14)</f>
        <v>6948.0800000000008</v>
      </c>
      <c r="C16" s="76">
        <f t="shared" ref="C16:E16" si="0">SUM(C3:C14)</f>
        <v>197365.37</v>
      </c>
      <c r="D16" s="76">
        <f t="shared" si="0"/>
        <v>3209</v>
      </c>
      <c r="E16" s="76">
        <f t="shared" si="0"/>
        <v>78954.58</v>
      </c>
      <c r="F16" s="77"/>
      <c r="G16" s="77"/>
      <c r="H16" s="77"/>
    </row>
    <row r="17" spans="1:2" x14ac:dyDescent="0.25">
      <c r="A17" s="74"/>
    </row>
    <row r="18" spans="1:2" x14ac:dyDescent="0.3">
      <c r="A18" s="75"/>
      <c r="B18" s="4"/>
    </row>
    <row r="19" spans="1:2" x14ac:dyDescent="0.3">
      <c r="A19" s="75"/>
      <c r="B19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443D-EED1-4D47-A70F-4B2D1315F063}">
  <sheetPr codeName="Sheet34">
    <tabColor theme="4"/>
  </sheetPr>
  <dimension ref="A1:J30"/>
  <sheetViews>
    <sheetView topLeftCell="A5" zoomScale="86" zoomScaleNormal="86" workbookViewId="0">
      <selection activeCell="I28" sqref="I28"/>
    </sheetView>
  </sheetViews>
  <sheetFormatPr defaultRowHeight="15" x14ac:dyDescent="0.25"/>
  <cols>
    <col min="1" max="1" width="12.42578125" style="34" bestFit="1" customWidth="1"/>
    <col min="2" max="2" width="14.85546875" style="34" bestFit="1" customWidth="1"/>
    <col min="3" max="3" width="10" style="34" bestFit="1" customWidth="1"/>
    <col min="4" max="7" width="9.140625" style="34"/>
    <col min="8" max="8" width="12.42578125" style="34" bestFit="1" customWidth="1"/>
    <col min="9" max="9" width="15.5703125" style="34" bestFit="1" customWidth="1"/>
    <col min="10" max="10" width="15.7109375" style="34" bestFit="1" customWidth="1"/>
    <col min="11" max="16384" width="9.140625" style="34"/>
  </cols>
  <sheetData>
    <row r="1" spans="1:10" s="31" customFormat="1" ht="15.75" x14ac:dyDescent="0.25">
      <c r="A1" s="60" t="s">
        <v>41</v>
      </c>
      <c r="B1" s="60"/>
      <c r="C1" s="60"/>
      <c r="D1" s="60"/>
      <c r="E1" s="60"/>
      <c r="F1" s="60"/>
      <c r="H1" s="31" t="s">
        <v>42</v>
      </c>
      <c r="I1" s="43" t="s">
        <v>43</v>
      </c>
      <c r="J1" s="32" t="s">
        <v>44</v>
      </c>
    </row>
    <row r="2" spans="1:10" s="31" customFormat="1" ht="15.75" x14ac:dyDescent="0.25">
      <c r="A2" s="33"/>
      <c r="B2" s="33"/>
      <c r="C2" s="33"/>
      <c r="H2" s="34"/>
      <c r="I2" s="34"/>
    </row>
    <row r="3" spans="1:10" s="31" customFormat="1" ht="15.75" x14ac:dyDescent="0.25">
      <c r="A3" s="35" t="s">
        <v>0</v>
      </c>
      <c r="B3" s="36">
        <f>SUM('1jan'!$B:$B)</f>
        <v>9185</v>
      </c>
      <c r="C3" s="33"/>
      <c r="H3" s="35" t="s">
        <v>0</v>
      </c>
      <c r="I3" s="36">
        <f>ExpendoMONTHLY!B3</f>
        <v>9185</v>
      </c>
      <c r="J3" s="36">
        <f>IncomeMONTHLY!B3</f>
        <v>14267.869999999999</v>
      </c>
    </row>
    <row r="4" spans="1:10" s="31" customFormat="1" ht="15.75" x14ac:dyDescent="0.25">
      <c r="A4" s="35" t="s">
        <v>12</v>
      </c>
      <c r="B4" s="36">
        <f>SUM('2feb'!$B:$B)</f>
        <v>50621.599999999999</v>
      </c>
      <c r="C4" s="33"/>
      <c r="H4" s="35" t="s">
        <v>12</v>
      </c>
      <c r="I4" s="36">
        <f>ExpendoMONTHLY!B4</f>
        <v>50621.599999999999</v>
      </c>
      <c r="J4" s="36">
        <f>IncomeMONTHLY!B4</f>
        <v>12259.88</v>
      </c>
    </row>
    <row r="5" spans="1:10" s="31" customFormat="1" ht="15.75" x14ac:dyDescent="0.25">
      <c r="A5" s="35" t="s">
        <v>1</v>
      </c>
      <c r="B5" s="36">
        <f>SUM('3mar'!$B:$B)</f>
        <v>11813.619999999999</v>
      </c>
      <c r="C5" s="33"/>
      <c r="H5" s="35" t="s">
        <v>1</v>
      </c>
      <c r="I5" s="36">
        <f>ExpendoMONTHLY!B5</f>
        <v>11813.619999999999</v>
      </c>
      <c r="J5" s="36">
        <f>IncomeMONTHLY!B5</f>
        <v>29530</v>
      </c>
    </row>
    <row r="6" spans="1:10" x14ac:dyDescent="0.25">
      <c r="A6" s="35" t="s">
        <v>2</v>
      </c>
      <c r="B6" s="36">
        <f>SUM('4apr'!$B:$B)</f>
        <v>4475</v>
      </c>
      <c r="C6" s="36"/>
      <c r="H6" s="35" t="s">
        <v>2</v>
      </c>
      <c r="I6" s="36">
        <f>ExpendoMONTHLY!B6</f>
        <v>4475</v>
      </c>
      <c r="J6" s="36">
        <f>IncomeMONTHLY!B6</f>
        <v>10596</v>
      </c>
    </row>
    <row r="7" spans="1:10" x14ac:dyDescent="0.25">
      <c r="A7" s="35" t="s">
        <v>3</v>
      </c>
      <c r="B7" s="36">
        <f>SUM('5may'!$B:$B)</f>
        <v>17965.93</v>
      </c>
      <c r="H7" s="35" t="s">
        <v>3</v>
      </c>
      <c r="I7" s="36">
        <f>ExpendoMONTHLY!B7</f>
        <v>17965.93</v>
      </c>
      <c r="J7" s="36">
        <f>IncomeMONTHLY!B7</f>
        <v>11499</v>
      </c>
    </row>
    <row r="8" spans="1:10" x14ac:dyDescent="0.25">
      <c r="A8" s="35" t="s">
        <v>4</v>
      </c>
      <c r="B8" s="36">
        <f>SUM('6jun'!$B:$B)</f>
        <v>14524.19</v>
      </c>
      <c r="H8" s="35" t="s">
        <v>4</v>
      </c>
      <c r="I8" s="36">
        <f>ExpendoMONTHLY!B8</f>
        <v>14524.19</v>
      </c>
      <c r="J8" s="36">
        <f>IncomeMONTHLY!B8</f>
        <v>7763.37</v>
      </c>
    </row>
    <row r="9" spans="1:10" x14ac:dyDescent="0.25">
      <c r="A9" s="35" t="s">
        <v>5</v>
      </c>
      <c r="B9" s="36">
        <f>SUM('7jul'!$C:$C)</f>
        <v>13344</v>
      </c>
      <c r="H9" s="35" t="s">
        <v>5</v>
      </c>
      <c r="I9" s="36">
        <f>ExpendoMONTHLY!B9</f>
        <v>13344</v>
      </c>
      <c r="J9" s="36">
        <f>IncomeMONTHLY!B9</f>
        <v>60415.41</v>
      </c>
    </row>
    <row r="10" spans="1:10" x14ac:dyDescent="0.25">
      <c r="A10" s="35" t="s">
        <v>6</v>
      </c>
      <c r="B10" s="36">
        <f>SUM('8aug'!$B:$B)</f>
        <v>15873</v>
      </c>
      <c r="H10" s="35" t="s">
        <v>6</v>
      </c>
      <c r="I10" s="36">
        <f>ExpendoMONTHLY!B10</f>
        <v>15873</v>
      </c>
      <c r="J10" s="36">
        <f>IncomeMONTHLY!B10</f>
        <v>16863.2</v>
      </c>
    </row>
    <row r="11" spans="1:10" x14ac:dyDescent="0.25">
      <c r="A11" s="35" t="s">
        <v>7</v>
      </c>
      <c r="B11" s="36">
        <f>SUM('9sep'!$C:$C)</f>
        <v>12874</v>
      </c>
      <c r="H11" s="35" t="s">
        <v>7</v>
      </c>
      <c r="I11" s="36">
        <f>ExpendoMONTHLY!B11</f>
        <v>12874</v>
      </c>
      <c r="J11" s="36">
        <f>IncomeMONTHLY!B11</f>
        <v>31042.09</v>
      </c>
    </row>
    <row r="12" spans="1:10" x14ac:dyDescent="0.25">
      <c r="A12" s="35" t="s">
        <v>8</v>
      </c>
      <c r="B12" s="36">
        <f>SUM('10oct'!$B:$B)</f>
        <v>12612.150000000001</v>
      </c>
      <c r="H12" s="35" t="s">
        <v>8</v>
      </c>
      <c r="I12" s="36">
        <f>ExpendoMONTHLY!B12</f>
        <v>12612.15</v>
      </c>
      <c r="J12" s="36">
        <f>IncomeMONTHLY!B12</f>
        <v>15026.6</v>
      </c>
    </row>
    <row r="13" spans="1:10" x14ac:dyDescent="0.25">
      <c r="A13" s="35" t="s">
        <v>9</v>
      </c>
      <c r="B13" s="36">
        <f>SUM('11nov'!$B:$B)</f>
        <v>793</v>
      </c>
      <c r="H13" s="35" t="s">
        <v>9</v>
      </c>
      <c r="I13" s="36">
        <f>ExpendoMONTHLY!B13</f>
        <v>793</v>
      </c>
      <c r="J13" s="36">
        <f>IncomeMONTHLY!B13</f>
        <v>61122.61</v>
      </c>
    </row>
    <row r="14" spans="1:10" x14ac:dyDescent="0.25">
      <c r="A14" s="35" t="s">
        <v>10</v>
      </c>
      <c r="B14" s="36">
        <f>SUM('12dec'!$B:$B)</f>
        <v>13091</v>
      </c>
      <c r="H14" s="35" t="s">
        <v>10</v>
      </c>
      <c r="I14" s="36">
        <f>ExpendoMONTHLY!B14</f>
        <v>347</v>
      </c>
      <c r="J14" s="36">
        <f>IncomeMONTHLY!B14</f>
        <v>16091</v>
      </c>
    </row>
    <row r="17" spans="1:10" ht="15.75" x14ac:dyDescent="0.25">
      <c r="A17" s="61" t="s">
        <v>45</v>
      </c>
      <c r="B17" s="61"/>
      <c r="C17" s="61"/>
      <c r="D17" s="61"/>
      <c r="E17" s="61"/>
      <c r="F17" s="61"/>
    </row>
    <row r="18" spans="1:10" ht="15.75" x14ac:dyDescent="0.25">
      <c r="H18" s="35" t="s">
        <v>46</v>
      </c>
      <c r="I18" s="43" t="s">
        <v>43</v>
      </c>
      <c r="J18" s="32" t="s">
        <v>44</v>
      </c>
    </row>
    <row r="19" spans="1:10" x14ac:dyDescent="0.25">
      <c r="A19" s="35" t="s">
        <v>0</v>
      </c>
      <c r="B19" s="36">
        <f>SUM('1jan'!$C:$C)</f>
        <v>14267.869999999999</v>
      </c>
      <c r="H19" s="35" t="s">
        <v>0</v>
      </c>
      <c r="I19" s="37">
        <f t="shared" ref="I19:I30" si="0">I3-B3</f>
        <v>0</v>
      </c>
      <c r="J19" s="37">
        <f t="shared" ref="J19:J30" si="1">J3-B19</f>
        <v>0</v>
      </c>
    </row>
    <row r="20" spans="1:10" x14ac:dyDescent="0.25">
      <c r="A20" s="35" t="s">
        <v>12</v>
      </c>
      <c r="B20" s="36">
        <f>SUM('2feb'!$C:$C)</f>
        <v>12259.88</v>
      </c>
      <c r="H20" s="35" t="s">
        <v>12</v>
      </c>
      <c r="I20" s="37">
        <f t="shared" si="0"/>
        <v>0</v>
      </c>
      <c r="J20" s="37">
        <f t="shared" si="1"/>
        <v>0</v>
      </c>
    </row>
    <row r="21" spans="1:10" x14ac:dyDescent="0.25">
      <c r="A21" s="35" t="s">
        <v>1</v>
      </c>
      <c r="B21" s="36">
        <f>SUM('3mar'!$C:$C)</f>
        <v>29530</v>
      </c>
      <c r="H21" s="35" t="s">
        <v>1</v>
      </c>
      <c r="I21" s="37">
        <f t="shared" si="0"/>
        <v>0</v>
      </c>
      <c r="J21" s="37">
        <f t="shared" si="1"/>
        <v>0</v>
      </c>
    </row>
    <row r="22" spans="1:10" x14ac:dyDescent="0.25">
      <c r="A22" s="35" t="s">
        <v>2</v>
      </c>
      <c r="B22" s="36">
        <f>SUM('4apr'!$C:$C)</f>
        <v>10596</v>
      </c>
      <c r="C22" s="36"/>
      <c r="H22" s="35" t="s">
        <v>2</v>
      </c>
      <c r="I22" s="37">
        <f t="shared" si="0"/>
        <v>0</v>
      </c>
      <c r="J22" s="37">
        <f t="shared" si="1"/>
        <v>0</v>
      </c>
    </row>
    <row r="23" spans="1:10" x14ac:dyDescent="0.25">
      <c r="A23" s="35" t="s">
        <v>3</v>
      </c>
      <c r="B23" s="36">
        <f>SUM('5may'!$C:$C)</f>
        <v>11499</v>
      </c>
      <c r="H23" s="35" t="s">
        <v>3</v>
      </c>
      <c r="I23" s="37">
        <f t="shared" si="0"/>
        <v>0</v>
      </c>
      <c r="J23" s="37">
        <f t="shared" si="1"/>
        <v>0</v>
      </c>
    </row>
    <row r="24" spans="1:10" x14ac:dyDescent="0.25">
      <c r="A24" s="35" t="s">
        <v>4</v>
      </c>
      <c r="B24" s="36">
        <f>SUM('6jun'!$C:$C)</f>
        <v>7763.37</v>
      </c>
      <c r="H24" s="35" t="s">
        <v>4</v>
      </c>
      <c r="I24" s="37">
        <f t="shared" si="0"/>
        <v>0</v>
      </c>
      <c r="J24" s="37">
        <f t="shared" si="1"/>
        <v>0</v>
      </c>
    </row>
    <row r="25" spans="1:10" x14ac:dyDescent="0.25">
      <c r="A25" s="35" t="s">
        <v>5</v>
      </c>
      <c r="B25" s="36">
        <f>SUM('7jul'!$D:$D)</f>
        <v>60415.41</v>
      </c>
      <c r="H25" s="35" t="s">
        <v>5</v>
      </c>
      <c r="I25" s="37">
        <f t="shared" si="0"/>
        <v>0</v>
      </c>
      <c r="J25" s="37">
        <f t="shared" si="1"/>
        <v>0</v>
      </c>
    </row>
    <row r="26" spans="1:10" x14ac:dyDescent="0.25">
      <c r="A26" s="35" t="s">
        <v>6</v>
      </c>
      <c r="B26" s="36">
        <f>SUM('8aug'!$C:$C)</f>
        <v>16863.2</v>
      </c>
      <c r="H26" s="35" t="s">
        <v>6</v>
      </c>
      <c r="I26" s="37">
        <f t="shared" si="0"/>
        <v>0</v>
      </c>
      <c r="J26" s="37">
        <f t="shared" si="1"/>
        <v>0</v>
      </c>
    </row>
    <row r="27" spans="1:10" x14ac:dyDescent="0.25">
      <c r="A27" s="35" t="s">
        <v>7</v>
      </c>
      <c r="B27" s="36">
        <f>SUM('9sep'!$D:$D)</f>
        <v>31042.089999999997</v>
      </c>
      <c r="H27" s="35" t="s">
        <v>7</v>
      </c>
      <c r="I27" s="37">
        <f t="shared" si="0"/>
        <v>0</v>
      </c>
      <c r="J27" s="37">
        <f t="shared" si="1"/>
        <v>0</v>
      </c>
    </row>
    <row r="28" spans="1:10" x14ac:dyDescent="0.25">
      <c r="A28" s="35" t="s">
        <v>8</v>
      </c>
      <c r="B28" s="36">
        <f>SUM('10oct'!$C:$C)</f>
        <v>15026.6</v>
      </c>
      <c r="H28" s="35" t="s">
        <v>8</v>
      </c>
      <c r="I28" s="37">
        <f t="shared" si="0"/>
        <v>0</v>
      </c>
      <c r="J28" s="37">
        <f t="shared" si="1"/>
        <v>0</v>
      </c>
    </row>
    <row r="29" spans="1:10" x14ac:dyDescent="0.25">
      <c r="A29" s="35" t="s">
        <v>9</v>
      </c>
      <c r="B29" s="36">
        <f>SUM('11nov'!$C:$C)</f>
        <v>61122.61</v>
      </c>
      <c r="H29" s="35" t="s">
        <v>9</v>
      </c>
      <c r="I29" s="37">
        <f t="shared" si="0"/>
        <v>0</v>
      </c>
      <c r="J29" s="37">
        <f t="shared" si="1"/>
        <v>0</v>
      </c>
    </row>
    <row r="30" spans="1:10" x14ac:dyDescent="0.25">
      <c r="A30" s="35" t="s">
        <v>10</v>
      </c>
      <c r="B30" s="36">
        <f>SUM('12dec'!$C:$C)</f>
        <v>16243.41</v>
      </c>
      <c r="H30" s="35" t="s">
        <v>10</v>
      </c>
      <c r="I30" s="37">
        <f t="shared" si="0"/>
        <v>-12744</v>
      </c>
      <c r="J30" s="37">
        <f t="shared" si="1"/>
        <v>-152.40999999999985</v>
      </c>
    </row>
  </sheetData>
  <mergeCells count="2">
    <mergeCell ref="A1:F1"/>
    <mergeCell ref="A17:F17"/>
  </mergeCells>
  <pageMargins left="0.7" right="0.7" top="0.75" bottom="0.75" header="0.3" footer="0.3"/>
  <ignoredErrors>
    <ignoredError sqref="B7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197EE-D1DC-4591-893F-69F46C520985}">
  <sheetPr codeName="Sheet32"/>
  <dimension ref="A1:AD43"/>
  <sheetViews>
    <sheetView zoomScale="89" zoomScaleNormal="89" workbookViewId="0">
      <selection activeCell="B1" sqref="B1"/>
    </sheetView>
  </sheetViews>
  <sheetFormatPr defaultColWidth="9.42578125" defaultRowHeight="18.75" x14ac:dyDescent="0.25"/>
  <cols>
    <col min="1" max="1" width="21.28515625" style="30" bestFit="1" customWidth="1"/>
    <col min="2" max="2" width="29.7109375" style="8" bestFit="1" customWidth="1"/>
    <col min="3" max="3" width="13.5703125" style="6" customWidth="1"/>
    <col min="4" max="4" width="18.140625" style="6" bestFit="1" customWidth="1"/>
    <col min="5" max="5" width="8" style="6" bestFit="1" customWidth="1"/>
    <col min="6" max="6" width="12.42578125" style="6" bestFit="1" customWidth="1"/>
    <col min="7" max="7" width="7.140625" style="6" bestFit="1" customWidth="1"/>
    <col min="8" max="8" width="6.7109375" style="6" bestFit="1" customWidth="1"/>
    <col min="9" max="9" width="10.85546875" style="6" bestFit="1" customWidth="1"/>
    <col min="10" max="10" width="15" style="6" bestFit="1" customWidth="1"/>
    <col min="11" max="11" width="12.5703125" style="6" bestFit="1" customWidth="1"/>
    <col min="12" max="12" width="15" style="6" bestFit="1" customWidth="1"/>
    <col min="13" max="13" width="14.140625" style="6" bestFit="1" customWidth="1"/>
    <col min="14" max="15" width="6.5703125" style="6" bestFit="1" customWidth="1"/>
    <col min="16" max="16" width="11.42578125" style="6" bestFit="1" customWidth="1"/>
    <col min="17" max="17" width="6.5703125" style="6" bestFit="1" customWidth="1"/>
    <col min="18" max="18" width="10.5703125" style="6" bestFit="1" customWidth="1"/>
    <col min="19" max="21" width="6.140625" style="6" bestFit="1" customWidth="1"/>
    <col min="22" max="24" width="9" style="6" bestFit="1" customWidth="1"/>
    <col min="25" max="25" width="10.5703125" style="6" bestFit="1" customWidth="1"/>
    <col min="26" max="30" width="6.140625" style="6" bestFit="1" customWidth="1"/>
    <col min="31" max="16384" width="9.42578125" style="6"/>
  </cols>
  <sheetData>
    <row r="1" spans="1:30" x14ac:dyDescent="0.25">
      <c r="A1" s="80" t="s">
        <v>77</v>
      </c>
      <c r="B1" s="80" t="s">
        <v>75</v>
      </c>
    </row>
    <row r="2" spans="1:30" s="30" customFormat="1" x14ac:dyDescent="0.25">
      <c r="B2" s="38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1:30" x14ac:dyDescent="0.25">
      <c r="A3" s="7" t="s">
        <v>0</v>
      </c>
      <c r="B3" s="39">
        <f>SUM(Expendo!2:2)</f>
        <v>9185</v>
      </c>
      <c r="C3" s="24"/>
      <c r="D3" s="24" t="s">
        <v>73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x14ac:dyDescent="0.25">
      <c r="A4" s="7" t="s">
        <v>12</v>
      </c>
      <c r="B4" s="39">
        <f>SUM(Expendo!3:3)</f>
        <v>50621.599999999999</v>
      </c>
      <c r="D4" s="63">
        <f>SUM(B3:B14)/COUNT(B3:B14)</f>
        <v>13702.374166666666</v>
      </c>
    </row>
    <row r="5" spans="1:30" x14ac:dyDescent="0.25">
      <c r="A5" s="7" t="s">
        <v>1</v>
      </c>
      <c r="B5" s="39">
        <f>SUM(Expendo!4:4)</f>
        <v>11813.619999999999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1:30" x14ac:dyDescent="0.25">
      <c r="A6" s="7" t="s">
        <v>2</v>
      </c>
      <c r="B6" s="39">
        <f>SUM(Expendo!5:5)</f>
        <v>4475</v>
      </c>
    </row>
    <row r="7" spans="1:30" x14ac:dyDescent="0.25">
      <c r="A7" s="7" t="s">
        <v>3</v>
      </c>
      <c r="B7" s="39">
        <f>SUM(Expendo!6:6)</f>
        <v>17965.93</v>
      </c>
    </row>
    <row r="8" spans="1:30" x14ac:dyDescent="0.25">
      <c r="A8" s="7" t="s">
        <v>4</v>
      </c>
      <c r="B8" s="39">
        <f>SUM(Expendo!7:7)</f>
        <v>14524.19</v>
      </c>
    </row>
    <row r="9" spans="1:30" x14ac:dyDescent="0.25">
      <c r="A9" s="7" t="s">
        <v>5</v>
      </c>
      <c r="B9" s="39">
        <f>SUM(Expendo!8:8)</f>
        <v>13344</v>
      </c>
    </row>
    <row r="10" spans="1:30" x14ac:dyDescent="0.25">
      <c r="A10" s="7" t="s">
        <v>6</v>
      </c>
      <c r="B10" s="39">
        <f>SUM(Expendo!9:9)</f>
        <v>15873</v>
      </c>
    </row>
    <row r="11" spans="1:30" x14ac:dyDescent="0.25">
      <c r="A11" s="7" t="s">
        <v>7</v>
      </c>
      <c r="B11" s="39">
        <f>SUM(Expendo!10:10)</f>
        <v>12874</v>
      </c>
    </row>
    <row r="12" spans="1:30" x14ac:dyDescent="0.25">
      <c r="A12" s="7" t="s">
        <v>8</v>
      </c>
      <c r="B12" s="39">
        <f>SUM(Expendo!11:11)</f>
        <v>12612.15</v>
      </c>
    </row>
    <row r="13" spans="1:30" x14ac:dyDescent="0.25">
      <c r="A13" s="7" t="s">
        <v>9</v>
      </c>
      <c r="B13" s="39">
        <f>SUM(Expendo!12:12)</f>
        <v>793</v>
      </c>
    </row>
    <row r="14" spans="1:30" x14ac:dyDescent="0.25">
      <c r="A14" s="7" t="s">
        <v>10</v>
      </c>
      <c r="B14" s="39">
        <f>SUM(Expendo!13:13)</f>
        <v>347</v>
      </c>
    </row>
    <row r="15" spans="1:30" x14ac:dyDescent="0.25">
      <c r="B15" s="39"/>
    </row>
    <row r="16" spans="1:30" x14ac:dyDescent="0.3">
      <c r="A16" s="64" t="s">
        <v>79</v>
      </c>
      <c r="B16" s="64">
        <f>SUM(B3:B14)</f>
        <v>164428.49</v>
      </c>
    </row>
    <row r="17" spans="2:17" x14ac:dyDescent="0.25">
      <c r="B17" s="39"/>
    </row>
    <row r="18" spans="2:17" x14ac:dyDescent="0.25">
      <c r="B18" s="39"/>
    </row>
    <row r="19" spans="2:17" x14ac:dyDescent="0.25">
      <c r="B19" s="39"/>
    </row>
    <row r="20" spans="2:17" x14ac:dyDescent="0.25">
      <c r="B20" s="39"/>
    </row>
    <row r="21" spans="2:17" x14ac:dyDescent="0.25">
      <c r="B21" s="39"/>
    </row>
    <row r="22" spans="2:17" x14ac:dyDescent="0.25">
      <c r="B22" s="39"/>
    </row>
    <row r="23" spans="2:17" x14ac:dyDescent="0.25">
      <c r="B23" s="39"/>
    </row>
    <row r="24" spans="2:17" x14ac:dyDescent="0.25">
      <c r="B24" s="39"/>
    </row>
    <row r="25" spans="2:17" x14ac:dyDescent="0.25">
      <c r="B25" s="39"/>
    </row>
    <row r="26" spans="2:17" x14ac:dyDescent="0.25">
      <c r="B26" s="39"/>
    </row>
    <row r="27" spans="2:17" x14ac:dyDescent="0.25">
      <c r="B27" s="39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</row>
    <row r="28" spans="2:17" x14ac:dyDescent="0.25">
      <c r="B28" s="39"/>
    </row>
    <row r="29" spans="2:17" x14ac:dyDescent="0.25">
      <c r="B29" s="39"/>
    </row>
    <row r="30" spans="2:17" x14ac:dyDescent="0.25">
      <c r="B30" s="39"/>
    </row>
    <row r="31" spans="2:17" x14ac:dyDescent="0.25">
      <c r="B31" s="39"/>
    </row>
    <row r="32" spans="2:17" x14ac:dyDescent="0.25">
      <c r="B32" s="39"/>
    </row>
    <row r="33" spans="2:7" x14ac:dyDescent="0.25">
      <c r="B33" s="39"/>
    </row>
    <row r="34" spans="2:7" x14ac:dyDescent="0.25">
      <c r="B34" s="39"/>
    </row>
    <row r="35" spans="2:7" x14ac:dyDescent="0.25">
      <c r="B35" s="39"/>
    </row>
    <row r="36" spans="2:7" x14ac:dyDescent="0.25">
      <c r="B36" s="39"/>
    </row>
    <row r="37" spans="2:7" x14ac:dyDescent="0.25">
      <c r="B37" s="39"/>
    </row>
    <row r="38" spans="2:7" x14ac:dyDescent="0.25">
      <c r="B38" s="39"/>
    </row>
    <row r="39" spans="2:7" x14ac:dyDescent="0.25">
      <c r="B39" s="39"/>
    </row>
    <row r="40" spans="2:7" x14ac:dyDescent="0.25">
      <c r="B40" s="39"/>
      <c r="D40" s="24"/>
      <c r="E40" s="24"/>
      <c r="F40" s="24"/>
      <c r="G40" s="24"/>
    </row>
    <row r="41" spans="2:7" x14ac:dyDescent="0.25">
      <c r="B41" s="39"/>
    </row>
    <row r="42" spans="2:7" x14ac:dyDescent="0.25">
      <c r="B42" s="39"/>
    </row>
    <row r="43" spans="2:7" x14ac:dyDescent="0.25">
      <c r="B43" s="3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32EA6-DBDC-4A1A-A0ED-B1337FDA4A21}">
  <sheetPr codeName="Sheet36"/>
  <dimension ref="A1:AD43"/>
  <sheetViews>
    <sheetView zoomScale="89" zoomScaleNormal="89" workbookViewId="0">
      <selection activeCell="B1" sqref="B1"/>
    </sheetView>
  </sheetViews>
  <sheetFormatPr defaultColWidth="22.7109375" defaultRowHeight="18.75" x14ac:dyDescent="0.25"/>
  <cols>
    <col min="1" max="1" width="22.140625" style="30" bestFit="1" customWidth="1"/>
    <col min="2" max="2" width="31.28515625" style="44" bestFit="1" customWidth="1"/>
    <col min="3" max="3" width="22.7109375" style="6"/>
    <col min="4" max="4" width="16.28515625" style="6" bestFit="1" customWidth="1"/>
    <col min="5" max="16384" width="22.7109375" style="6"/>
  </cols>
  <sheetData>
    <row r="1" spans="1:30" x14ac:dyDescent="0.25">
      <c r="A1" s="73" t="s">
        <v>76</v>
      </c>
      <c r="B1" s="73" t="s">
        <v>74</v>
      </c>
    </row>
    <row r="2" spans="1:30" s="30" customFormat="1" x14ac:dyDescent="0.25">
      <c r="B2" s="58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1:30" x14ac:dyDescent="0.25">
      <c r="A3" s="7" t="s">
        <v>0</v>
      </c>
      <c r="B3" s="45">
        <f>SUM(Income!3:3)</f>
        <v>14267.869999999999</v>
      </c>
      <c r="C3" s="24"/>
      <c r="D3" s="24" t="s">
        <v>72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x14ac:dyDescent="0.25">
      <c r="A4" s="7" t="s">
        <v>12</v>
      </c>
      <c r="B4" s="45">
        <f>SUM(Income!4:4)</f>
        <v>12259.88</v>
      </c>
      <c r="D4" s="62">
        <f>SUM(B3:B14)/COUNT(B3:B14)</f>
        <v>23873.085833333334</v>
      </c>
    </row>
    <row r="5" spans="1:30" x14ac:dyDescent="0.25">
      <c r="A5" s="7" t="s">
        <v>1</v>
      </c>
      <c r="B5" s="45">
        <f>SUM(Income!5:5)</f>
        <v>29530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1:30" x14ac:dyDescent="0.25">
      <c r="A6" s="7" t="s">
        <v>2</v>
      </c>
      <c r="B6" s="45">
        <f>SUM(Income!6:6)</f>
        <v>10596</v>
      </c>
    </row>
    <row r="7" spans="1:30" x14ac:dyDescent="0.25">
      <c r="A7" s="7" t="s">
        <v>3</v>
      </c>
      <c r="B7" s="45">
        <f>SUM(Income!7:7)</f>
        <v>11499</v>
      </c>
    </row>
    <row r="8" spans="1:30" x14ac:dyDescent="0.25">
      <c r="A8" s="7" t="s">
        <v>4</v>
      </c>
      <c r="B8" s="45">
        <f>SUM(Income!8:8)</f>
        <v>7763.37</v>
      </c>
    </row>
    <row r="9" spans="1:30" x14ac:dyDescent="0.25">
      <c r="A9" s="7" t="s">
        <v>5</v>
      </c>
      <c r="B9" s="45">
        <f>SUM(Income!9:9)</f>
        <v>60415.41</v>
      </c>
    </row>
    <row r="10" spans="1:30" x14ac:dyDescent="0.25">
      <c r="A10" s="7" t="s">
        <v>6</v>
      </c>
      <c r="B10" s="45">
        <f>SUM(Income!10:10)</f>
        <v>16863.2</v>
      </c>
    </row>
    <row r="11" spans="1:30" x14ac:dyDescent="0.25">
      <c r="A11" s="7" t="s">
        <v>7</v>
      </c>
      <c r="B11" s="45">
        <f>SUM(Income!11:11)</f>
        <v>31042.09</v>
      </c>
    </row>
    <row r="12" spans="1:30" x14ac:dyDescent="0.25">
      <c r="A12" s="7" t="s">
        <v>8</v>
      </c>
      <c r="B12" s="45">
        <f>SUM(Income!12:12)</f>
        <v>15026.6</v>
      </c>
    </row>
    <row r="13" spans="1:30" x14ac:dyDescent="0.25">
      <c r="A13" s="7" t="s">
        <v>9</v>
      </c>
      <c r="B13" s="45">
        <f>SUM(Income!13:13)</f>
        <v>61122.61</v>
      </c>
    </row>
    <row r="14" spans="1:30" x14ac:dyDescent="0.25">
      <c r="A14" s="7" t="s">
        <v>10</v>
      </c>
      <c r="B14" s="45">
        <f>SUM(Income!14:14)</f>
        <v>16091</v>
      </c>
    </row>
    <row r="15" spans="1:30" x14ac:dyDescent="0.25">
      <c r="B15" s="45"/>
    </row>
    <row r="16" spans="1:30" x14ac:dyDescent="0.3">
      <c r="A16" s="79" t="s">
        <v>78</v>
      </c>
      <c r="B16" s="79">
        <f>SUM(B3:B14)</f>
        <v>286477.03000000003</v>
      </c>
    </row>
    <row r="17" spans="2:17" x14ac:dyDescent="0.25">
      <c r="B17" s="45"/>
    </row>
    <row r="18" spans="2:17" x14ac:dyDescent="0.25">
      <c r="B18" s="45"/>
    </row>
    <row r="19" spans="2:17" x14ac:dyDescent="0.25">
      <c r="B19" s="45"/>
    </row>
    <row r="20" spans="2:17" x14ac:dyDescent="0.25">
      <c r="B20" s="45"/>
    </row>
    <row r="21" spans="2:17" x14ac:dyDescent="0.25">
      <c r="B21" s="45"/>
    </row>
    <row r="22" spans="2:17" x14ac:dyDescent="0.25">
      <c r="B22" s="45"/>
    </row>
    <row r="23" spans="2:17" x14ac:dyDescent="0.25">
      <c r="B23" s="45"/>
    </row>
    <row r="24" spans="2:17" x14ac:dyDescent="0.25">
      <c r="B24" s="45"/>
    </row>
    <row r="25" spans="2:17" x14ac:dyDescent="0.25">
      <c r="B25" s="45"/>
    </row>
    <row r="26" spans="2:17" x14ac:dyDescent="0.25">
      <c r="B26" s="45"/>
    </row>
    <row r="27" spans="2:17" x14ac:dyDescent="0.25">
      <c r="B27" s="45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</row>
    <row r="28" spans="2:17" x14ac:dyDescent="0.25">
      <c r="B28" s="45"/>
    </row>
    <row r="29" spans="2:17" x14ac:dyDescent="0.25">
      <c r="B29" s="45"/>
    </row>
    <row r="30" spans="2:17" x14ac:dyDescent="0.25">
      <c r="B30" s="45"/>
    </row>
    <row r="31" spans="2:17" x14ac:dyDescent="0.25">
      <c r="B31" s="45"/>
    </row>
    <row r="32" spans="2:17" x14ac:dyDescent="0.25">
      <c r="B32" s="45"/>
    </row>
    <row r="33" spans="2:7" x14ac:dyDescent="0.25">
      <c r="B33" s="45"/>
    </row>
    <row r="34" spans="2:7" x14ac:dyDescent="0.25">
      <c r="B34" s="45"/>
    </row>
    <row r="35" spans="2:7" x14ac:dyDescent="0.25">
      <c r="B35" s="45"/>
    </row>
    <row r="36" spans="2:7" x14ac:dyDescent="0.25">
      <c r="B36" s="45"/>
    </row>
    <row r="37" spans="2:7" x14ac:dyDescent="0.25">
      <c r="B37" s="45"/>
    </row>
    <row r="38" spans="2:7" x14ac:dyDescent="0.25">
      <c r="B38" s="45"/>
    </row>
    <row r="39" spans="2:7" x14ac:dyDescent="0.25">
      <c r="B39" s="45"/>
    </row>
    <row r="40" spans="2:7" x14ac:dyDescent="0.25">
      <c r="B40" s="45"/>
      <c r="D40" s="24"/>
      <c r="E40" s="24"/>
      <c r="F40" s="24"/>
      <c r="G40" s="24"/>
    </row>
    <row r="41" spans="2:7" x14ac:dyDescent="0.25">
      <c r="B41" s="45"/>
    </row>
    <row r="42" spans="2:7" x14ac:dyDescent="0.25">
      <c r="B42" s="45"/>
    </row>
    <row r="43" spans="2:7" x14ac:dyDescent="0.25">
      <c r="B43" s="4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9306F-737E-4D94-AC38-415A491F922B}">
  <sheetPr codeName="Sheet19"/>
  <dimension ref="A1:G23"/>
  <sheetViews>
    <sheetView workbookViewId="0">
      <selection activeCell="C10" sqref="C10"/>
    </sheetView>
  </sheetViews>
  <sheetFormatPr defaultRowHeight="15" x14ac:dyDescent="0.25"/>
  <cols>
    <col min="1" max="1" width="19.140625" style="16" bestFit="1" customWidth="1"/>
    <col min="2" max="2" width="11.42578125" style="12" bestFit="1" customWidth="1"/>
    <col min="3" max="3" width="9.85546875" style="12" bestFit="1" customWidth="1"/>
    <col min="4" max="4" width="9" style="12" bestFit="1" customWidth="1"/>
    <col min="5" max="5" width="9.140625" style="12"/>
    <col min="6" max="6" width="12.28515625" style="12" customWidth="1"/>
    <col min="7" max="7" width="13.5703125" style="12" customWidth="1"/>
    <col min="8" max="8" width="9.140625" style="12"/>
    <col min="9" max="9" width="12.5703125" style="12" customWidth="1"/>
    <col min="10" max="10" width="13" style="12" customWidth="1"/>
    <col min="11" max="16384" width="9.140625" style="12"/>
  </cols>
  <sheetData>
    <row r="1" spans="1:7" ht="30" x14ac:dyDescent="0.25">
      <c r="A1" s="56" t="s">
        <v>19</v>
      </c>
      <c r="B1" s="57" t="s">
        <v>21</v>
      </c>
      <c r="C1" s="57" t="s">
        <v>22</v>
      </c>
      <c r="D1" s="57" t="s">
        <v>18</v>
      </c>
    </row>
    <row r="2" spans="1:7" x14ac:dyDescent="0.25">
      <c r="A2" s="49" t="s">
        <v>59</v>
      </c>
      <c r="B2" s="13">
        <v>1</v>
      </c>
      <c r="C2" s="13"/>
      <c r="D2" s="13">
        <v>85983.21</v>
      </c>
    </row>
    <row r="3" spans="1:7" x14ac:dyDescent="0.25">
      <c r="A3" s="49" t="s">
        <v>15</v>
      </c>
      <c r="B3" s="13">
        <v>3850</v>
      </c>
      <c r="C3" s="13"/>
      <c r="D3" s="13">
        <v>82133.210000000006</v>
      </c>
    </row>
    <row r="4" spans="1:7" x14ac:dyDescent="0.25">
      <c r="A4" s="55" t="s">
        <v>71</v>
      </c>
      <c r="B4" s="13"/>
      <c r="C4" s="13">
        <v>4267.87</v>
      </c>
      <c r="D4" s="13">
        <v>86401.08</v>
      </c>
    </row>
    <row r="5" spans="1:7" x14ac:dyDescent="0.25">
      <c r="A5" s="49" t="s">
        <v>61</v>
      </c>
      <c r="B5" s="13">
        <v>203.8</v>
      </c>
      <c r="C5" s="13"/>
      <c r="D5" s="13">
        <v>86197.28</v>
      </c>
    </row>
    <row r="6" spans="1:7" x14ac:dyDescent="0.25">
      <c r="A6" s="49" t="s">
        <v>62</v>
      </c>
      <c r="B6" s="13">
        <v>170.2</v>
      </c>
      <c r="C6" s="13"/>
      <c r="D6" s="13">
        <v>86027.08</v>
      </c>
    </row>
    <row r="7" spans="1:7" x14ac:dyDescent="0.25">
      <c r="A7" s="49" t="s">
        <v>63</v>
      </c>
      <c r="B7" s="13">
        <v>230</v>
      </c>
      <c r="C7" s="13"/>
      <c r="D7" s="13">
        <v>85797.08</v>
      </c>
    </row>
    <row r="8" spans="1:7" x14ac:dyDescent="0.25">
      <c r="A8" s="54" t="s">
        <v>70</v>
      </c>
      <c r="B8" s="13"/>
      <c r="C8" s="13">
        <v>10000</v>
      </c>
      <c r="D8" s="13">
        <v>85567.08</v>
      </c>
    </row>
    <row r="9" spans="1:7" x14ac:dyDescent="0.25">
      <c r="A9" s="49" t="s">
        <v>66</v>
      </c>
      <c r="B9" s="13">
        <v>230</v>
      </c>
      <c r="C9" s="13"/>
      <c r="D9" s="13">
        <v>85337.08</v>
      </c>
    </row>
    <row r="10" spans="1:7" x14ac:dyDescent="0.25">
      <c r="A10" s="49" t="s">
        <v>67</v>
      </c>
      <c r="B10" s="13">
        <v>126</v>
      </c>
      <c r="C10" s="13"/>
      <c r="D10" s="13">
        <v>85211.08</v>
      </c>
    </row>
    <row r="11" spans="1:7" x14ac:dyDescent="0.25">
      <c r="A11" s="49" t="s">
        <v>16</v>
      </c>
      <c r="B11" s="13">
        <v>267</v>
      </c>
      <c r="C11" s="13"/>
      <c r="D11" s="13">
        <v>84944.08</v>
      </c>
    </row>
    <row r="12" spans="1:7" x14ac:dyDescent="0.25">
      <c r="A12" s="50" t="s">
        <v>68</v>
      </c>
      <c r="B12" s="13">
        <v>3300</v>
      </c>
      <c r="C12" s="13"/>
      <c r="D12" s="13">
        <v>81644.08</v>
      </c>
    </row>
    <row r="13" spans="1:7" x14ac:dyDescent="0.25">
      <c r="A13" s="49" t="s">
        <v>60</v>
      </c>
      <c r="B13" s="13">
        <v>807</v>
      </c>
      <c r="C13" s="13"/>
      <c r="D13" s="13">
        <v>80837.08</v>
      </c>
    </row>
    <row r="14" spans="1:7" x14ac:dyDescent="0.25">
      <c r="A14"/>
      <c r="B14" s="13"/>
      <c r="C14"/>
      <c r="D14"/>
    </row>
    <row r="15" spans="1:7" customFormat="1" x14ac:dyDescent="0.25">
      <c r="B15" s="13"/>
      <c r="F15" s="12"/>
      <c r="G15" s="12"/>
    </row>
    <row r="16" spans="1:7" x14ac:dyDescent="0.25">
      <c r="A16" s="14"/>
    </row>
    <row r="17" spans="1:1" x14ac:dyDescent="0.25">
      <c r="A17" s="14"/>
    </row>
    <row r="18" spans="1:1" x14ac:dyDescent="0.25">
      <c r="A18" s="14"/>
    </row>
    <row r="19" spans="1:1" x14ac:dyDescent="0.25">
      <c r="A19" s="14"/>
    </row>
    <row r="20" spans="1:1" x14ac:dyDescent="0.25">
      <c r="A20" s="14"/>
    </row>
    <row r="21" spans="1:1" x14ac:dyDescent="0.25">
      <c r="A21" s="15"/>
    </row>
    <row r="22" spans="1:1" x14ac:dyDescent="0.25">
      <c r="A22" s="14"/>
    </row>
    <row r="23" spans="1:1" x14ac:dyDescent="0.25">
      <c r="A23" s="14"/>
    </row>
  </sheetData>
  <autoFilter ref="A1:D13" xr:uid="{0D662D63-94F1-409A-85F0-4BC13A389D9C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26A15-86A3-44E6-92F6-178E34BB33D6}">
  <sheetPr codeName="Sheet20"/>
  <dimension ref="A1:D19"/>
  <sheetViews>
    <sheetView topLeftCell="A2" zoomScale="89" zoomScaleNormal="89" workbookViewId="0">
      <selection activeCell="A4" sqref="A4"/>
    </sheetView>
  </sheetViews>
  <sheetFormatPr defaultRowHeight="15" x14ac:dyDescent="0.25"/>
  <cols>
    <col min="1" max="1" width="21.28515625" bestFit="1" customWidth="1"/>
    <col min="2" max="2" width="11.42578125" bestFit="1" customWidth="1"/>
    <col min="3" max="3" width="9.85546875" bestFit="1" customWidth="1"/>
    <col min="4" max="4" width="10.140625" bestFit="1" customWidth="1"/>
    <col min="6" max="6" width="10" bestFit="1" customWidth="1"/>
  </cols>
  <sheetData>
    <row r="1" spans="1:4" ht="43.5" customHeight="1" x14ac:dyDescent="0.25"/>
    <row r="2" spans="1:4" s="5" customFormat="1" ht="30" x14ac:dyDescent="0.25">
      <c r="A2" s="56" t="s">
        <v>19</v>
      </c>
      <c r="B2" s="57" t="s">
        <v>21</v>
      </c>
      <c r="C2" s="57" t="s">
        <v>22</v>
      </c>
      <c r="D2" s="57" t="s">
        <v>18</v>
      </c>
    </row>
    <row r="3" spans="1:4" x14ac:dyDescent="0.25">
      <c r="A3" s="55" t="s">
        <v>71</v>
      </c>
      <c r="C3">
        <v>692</v>
      </c>
      <c r="D3">
        <v>81529.08</v>
      </c>
    </row>
    <row r="4" spans="1:4" x14ac:dyDescent="0.25">
      <c r="A4" s="49" t="s">
        <v>11</v>
      </c>
      <c r="B4">
        <v>1950</v>
      </c>
      <c r="D4">
        <v>79579.08</v>
      </c>
    </row>
    <row r="5" spans="1:4" x14ac:dyDescent="0.25">
      <c r="A5" s="49" t="s">
        <v>15</v>
      </c>
      <c r="B5">
        <v>230</v>
      </c>
      <c r="D5">
        <v>79349.08</v>
      </c>
    </row>
    <row r="6" spans="1:4" x14ac:dyDescent="0.25">
      <c r="A6" s="49" t="s">
        <v>11</v>
      </c>
      <c r="B6">
        <v>350</v>
      </c>
      <c r="D6">
        <v>78999.08</v>
      </c>
    </row>
    <row r="7" spans="1:4" x14ac:dyDescent="0.25">
      <c r="A7" s="54" t="s">
        <v>47</v>
      </c>
      <c r="C7">
        <v>3</v>
      </c>
      <c r="D7">
        <v>79002.080000000002</v>
      </c>
    </row>
    <row r="8" spans="1:4" x14ac:dyDescent="0.25">
      <c r="A8" s="54" t="s">
        <v>47</v>
      </c>
      <c r="C8">
        <v>470</v>
      </c>
      <c r="D8">
        <v>79472.08</v>
      </c>
    </row>
    <row r="9" spans="1:4" x14ac:dyDescent="0.25">
      <c r="A9" s="49" t="s">
        <v>60</v>
      </c>
      <c r="B9">
        <v>1000</v>
      </c>
      <c r="D9">
        <v>78472.08</v>
      </c>
    </row>
    <row r="10" spans="1:4" x14ac:dyDescent="0.25">
      <c r="A10" s="49" t="s">
        <v>25</v>
      </c>
      <c r="B10">
        <v>1130</v>
      </c>
      <c r="D10">
        <v>77342.080000000002</v>
      </c>
    </row>
    <row r="11" spans="1:4" x14ac:dyDescent="0.25">
      <c r="A11" s="54" t="s">
        <v>70</v>
      </c>
      <c r="C11">
        <v>10000</v>
      </c>
      <c r="D11">
        <v>77812.08</v>
      </c>
    </row>
    <row r="12" spans="1:4" x14ac:dyDescent="0.25">
      <c r="A12" s="55" t="s">
        <v>71</v>
      </c>
      <c r="C12">
        <v>470</v>
      </c>
      <c r="D12">
        <v>78282.080000000002</v>
      </c>
    </row>
    <row r="13" spans="1:4" x14ac:dyDescent="0.25">
      <c r="A13" s="55" t="s">
        <v>71</v>
      </c>
      <c r="C13">
        <v>470</v>
      </c>
      <c r="D13">
        <v>78752.08</v>
      </c>
    </row>
    <row r="14" spans="1:4" x14ac:dyDescent="0.25">
      <c r="A14" s="54" t="s">
        <v>20</v>
      </c>
      <c r="C14">
        <v>125</v>
      </c>
      <c r="D14">
        <v>78877.08</v>
      </c>
    </row>
    <row r="15" spans="1:4" x14ac:dyDescent="0.25">
      <c r="A15" s="49" t="s">
        <v>63</v>
      </c>
      <c r="B15">
        <v>907.6</v>
      </c>
      <c r="D15">
        <v>77969.48</v>
      </c>
    </row>
    <row r="16" spans="1:4" x14ac:dyDescent="0.25">
      <c r="A16" s="49" t="s">
        <v>64</v>
      </c>
      <c r="B16">
        <v>35000</v>
      </c>
      <c r="D16">
        <v>42969.48</v>
      </c>
    </row>
    <row r="17" spans="1:4" x14ac:dyDescent="0.25">
      <c r="A17" s="54" t="s">
        <v>20</v>
      </c>
      <c r="C17">
        <v>29.88</v>
      </c>
      <c r="D17">
        <v>42999.360000000001</v>
      </c>
    </row>
    <row r="18" spans="1:4" x14ac:dyDescent="0.25">
      <c r="A18" s="50" t="s">
        <v>68</v>
      </c>
      <c r="B18">
        <v>9899</v>
      </c>
      <c r="D18">
        <v>33100.36</v>
      </c>
    </row>
    <row r="19" spans="1:4" x14ac:dyDescent="0.25">
      <c r="A19" s="49" t="s">
        <v>40</v>
      </c>
      <c r="B19">
        <v>155</v>
      </c>
      <c r="D19">
        <v>32945.360000000001</v>
      </c>
    </row>
  </sheetData>
  <autoFilter ref="A2:D2" xr:uid="{8E282B96-077F-4796-AF19-D91FD0E747D4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922B-E73E-4D4F-AABF-8ECC661755D5}">
  <sheetPr codeName="Sheet21"/>
  <dimension ref="A1:G16"/>
  <sheetViews>
    <sheetView zoomScale="89" zoomScaleNormal="89" workbookViewId="0">
      <selection activeCell="F1" sqref="F1:G15"/>
    </sheetView>
  </sheetViews>
  <sheetFormatPr defaultColWidth="25.5703125" defaultRowHeight="15" x14ac:dyDescent="0.25"/>
  <cols>
    <col min="1" max="1" width="21.28515625" bestFit="1" customWidth="1"/>
    <col min="2" max="2" width="11.42578125" style="26" bestFit="1" customWidth="1"/>
    <col min="3" max="3" width="9.85546875" style="26" bestFit="1" customWidth="1"/>
    <col min="4" max="4" width="10.140625" bestFit="1" customWidth="1"/>
    <col min="6" max="6" width="11.5703125" bestFit="1" customWidth="1"/>
    <col min="7" max="7" width="21.28515625" bestFit="1" customWidth="1"/>
  </cols>
  <sheetData>
    <row r="1" spans="1:7" s="5" customFormat="1" ht="30" x14ac:dyDescent="0.25">
      <c r="A1" s="56" t="s">
        <v>19</v>
      </c>
      <c r="B1" s="57" t="s">
        <v>21</v>
      </c>
      <c r="C1" s="57" t="s">
        <v>22</v>
      </c>
      <c r="D1" s="57" t="s">
        <v>18</v>
      </c>
    </row>
    <row r="2" spans="1:7" x14ac:dyDescent="0.25">
      <c r="A2" s="54" t="s">
        <v>20</v>
      </c>
      <c r="C2" s="26">
        <v>30</v>
      </c>
      <c r="D2">
        <v>32975.360000000001</v>
      </c>
      <c r="F2" s="49"/>
      <c r="G2" s="54"/>
    </row>
    <row r="3" spans="1:7" x14ac:dyDescent="0.25">
      <c r="A3" s="49" t="s">
        <v>11</v>
      </c>
      <c r="B3" s="26">
        <v>219</v>
      </c>
      <c r="D3">
        <v>32756.36</v>
      </c>
      <c r="F3" s="49"/>
      <c r="G3" s="54"/>
    </row>
    <row r="4" spans="1:7" x14ac:dyDescent="0.25">
      <c r="A4" s="49" t="s">
        <v>60</v>
      </c>
      <c r="B4" s="26">
        <v>272</v>
      </c>
      <c r="D4">
        <v>32484.36</v>
      </c>
      <c r="F4" s="49"/>
      <c r="G4" s="54"/>
    </row>
    <row r="5" spans="1:7" x14ac:dyDescent="0.25">
      <c r="A5" s="49" t="s">
        <v>25</v>
      </c>
      <c r="B5" s="26">
        <v>2582</v>
      </c>
      <c r="D5">
        <v>29902.36</v>
      </c>
      <c r="F5" s="49"/>
      <c r="G5" s="55"/>
    </row>
    <row r="6" spans="1:7" x14ac:dyDescent="0.25">
      <c r="A6" s="49" t="s">
        <v>61</v>
      </c>
      <c r="B6" s="26">
        <v>1000</v>
      </c>
      <c r="D6">
        <v>28902.36</v>
      </c>
      <c r="F6" s="49"/>
    </row>
    <row r="7" spans="1:7" x14ac:dyDescent="0.25">
      <c r="A7" s="49" t="s">
        <v>62</v>
      </c>
      <c r="B7" s="26">
        <v>1513.62</v>
      </c>
      <c r="D7">
        <v>27388.74</v>
      </c>
      <c r="F7" s="49"/>
    </row>
    <row r="8" spans="1:7" x14ac:dyDescent="0.25">
      <c r="A8" s="49" t="s">
        <v>63</v>
      </c>
      <c r="B8" s="26">
        <v>3000</v>
      </c>
      <c r="D8">
        <v>24388.74</v>
      </c>
      <c r="F8" s="49"/>
    </row>
    <row r="9" spans="1:7" x14ac:dyDescent="0.25">
      <c r="A9" s="49" t="s">
        <v>64</v>
      </c>
      <c r="B9" s="26">
        <v>1200</v>
      </c>
      <c r="D9">
        <v>23188.74</v>
      </c>
      <c r="F9" s="49"/>
    </row>
    <row r="10" spans="1:7" x14ac:dyDescent="0.25">
      <c r="A10" s="49" t="s">
        <v>66</v>
      </c>
      <c r="B10" s="26">
        <v>250</v>
      </c>
      <c r="D10">
        <v>22938.74</v>
      </c>
      <c r="F10" s="49"/>
    </row>
    <row r="11" spans="1:7" x14ac:dyDescent="0.25">
      <c r="A11" s="54" t="s">
        <v>70</v>
      </c>
      <c r="C11" s="26">
        <v>10000</v>
      </c>
      <c r="D11">
        <v>25770.74</v>
      </c>
      <c r="F11" s="49"/>
    </row>
    <row r="12" spans="1:7" x14ac:dyDescent="0.25">
      <c r="A12" s="55" t="s">
        <v>71</v>
      </c>
      <c r="C12" s="26">
        <v>4500</v>
      </c>
      <c r="D12">
        <v>30270.74</v>
      </c>
      <c r="F12" s="49"/>
    </row>
    <row r="13" spans="1:7" x14ac:dyDescent="0.25">
      <c r="A13" s="49" t="s">
        <v>64</v>
      </c>
      <c r="B13" s="26">
        <v>1770</v>
      </c>
      <c r="D13">
        <v>28500.74</v>
      </c>
      <c r="F13" s="49"/>
    </row>
    <row r="14" spans="1:7" x14ac:dyDescent="0.25">
      <c r="A14" s="54" t="s">
        <v>70</v>
      </c>
      <c r="C14" s="26">
        <v>10000</v>
      </c>
      <c r="D14">
        <v>38500.74</v>
      </c>
      <c r="F14" s="50"/>
    </row>
    <row r="15" spans="1:7" x14ac:dyDescent="0.25">
      <c r="A15" s="55" t="s">
        <v>71</v>
      </c>
      <c r="C15" s="26">
        <v>5000</v>
      </c>
      <c r="D15">
        <v>63500.74</v>
      </c>
    </row>
    <row r="16" spans="1:7" x14ac:dyDescent="0.25">
      <c r="A16" s="49" t="s">
        <v>25</v>
      </c>
      <c r="B16" s="26">
        <v>7</v>
      </c>
      <c r="D16">
        <v>63493.74</v>
      </c>
    </row>
  </sheetData>
  <autoFilter ref="A1:D1" xr:uid="{44363396-4FB4-4943-88F6-58513D542587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A3A24-7F6D-4DF3-88CE-2F4A07397DAB}">
  <sheetPr codeName="Sheet22"/>
  <dimension ref="A1:D14"/>
  <sheetViews>
    <sheetView zoomScale="86" zoomScaleNormal="86" workbookViewId="0">
      <selection sqref="A1:D1"/>
    </sheetView>
  </sheetViews>
  <sheetFormatPr defaultRowHeight="15" x14ac:dyDescent="0.25"/>
  <cols>
    <col min="1" max="1" width="19.140625" bestFit="1" customWidth="1"/>
    <col min="2" max="2" width="11.42578125" style="26" bestFit="1" customWidth="1"/>
    <col min="3" max="3" width="9.85546875" style="26" bestFit="1" customWidth="1"/>
  </cols>
  <sheetData>
    <row r="1" spans="1:4" s="5" customFormat="1" ht="30" x14ac:dyDescent="0.25">
      <c r="A1" s="56" t="s">
        <v>19</v>
      </c>
      <c r="B1" s="57" t="s">
        <v>21</v>
      </c>
      <c r="C1" s="57" t="s">
        <v>22</v>
      </c>
      <c r="D1" s="57" t="s">
        <v>18</v>
      </c>
    </row>
    <row r="2" spans="1:4" x14ac:dyDescent="0.25">
      <c r="A2" s="49" t="s">
        <v>59</v>
      </c>
      <c r="B2" s="26">
        <v>155</v>
      </c>
      <c r="D2">
        <v>63338.74</v>
      </c>
    </row>
    <row r="3" spans="1:4" x14ac:dyDescent="0.25">
      <c r="A3" s="49" t="s">
        <v>15</v>
      </c>
      <c r="B3" s="26">
        <v>10</v>
      </c>
      <c r="D3">
        <v>63328.74</v>
      </c>
    </row>
    <row r="4" spans="1:4" x14ac:dyDescent="0.25">
      <c r="A4" s="49" t="s">
        <v>11</v>
      </c>
      <c r="B4" s="26">
        <v>65</v>
      </c>
      <c r="D4">
        <v>63263.74</v>
      </c>
    </row>
    <row r="5" spans="1:4" x14ac:dyDescent="0.25">
      <c r="A5" s="49" t="s">
        <v>60</v>
      </c>
      <c r="B5" s="26">
        <v>205</v>
      </c>
      <c r="D5">
        <v>63058.74</v>
      </c>
    </row>
    <row r="6" spans="1:4" x14ac:dyDescent="0.25">
      <c r="A6" s="49" t="s">
        <v>25</v>
      </c>
      <c r="B6" s="26">
        <v>299</v>
      </c>
      <c r="D6">
        <v>62759.74</v>
      </c>
    </row>
    <row r="7" spans="1:4" x14ac:dyDescent="0.25">
      <c r="A7" s="49" t="s">
        <v>61</v>
      </c>
      <c r="B7" s="26">
        <v>450</v>
      </c>
      <c r="D7">
        <v>62309.74</v>
      </c>
    </row>
    <row r="8" spans="1:4" x14ac:dyDescent="0.25">
      <c r="A8" s="49" t="s">
        <v>62</v>
      </c>
      <c r="B8" s="26">
        <v>1500</v>
      </c>
      <c r="D8">
        <v>60809.74</v>
      </c>
    </row>
    <row r="9" spans="1:4" x14ac:dyDescent="0.25">
      <c r="A9" s="55" t="s">
        <v>71</v>
      </c>
      <c r="C9" s="26">
        <v>205</v>
      </c>
      <c r="D9">
        <v>61014.74</v>
      </c>
    </row>
    <row r="10" spans="1:4" x14ac:dyDescent="0.25">
      <c r="A10" s="54" t="s">
        <v>70</v>
      </c>
      <c r="C10" s="26">
        <v>10000</v>
      </c>
      <c r="D10">
        <v>61024.74</v>
      </c>
    </row>
    <row r="11" spans="1:4" x14ac:dyDescent="0.25">
      <c r="A11" s="49" t="s">
        <v>62</v>
      </c>
      <c r="B11" s="26">
        <v>1500</v>
      </c>
      <c r="D11">
        <v>59524.74</v>
      </c>
    </row>
    <row r="12" spans="1:4" x14ac:dyDescent="0.25">
      <c r="A12" s="49" t="s">
        <v>63</v>
      </c>
      <c r="B12" s="26">
        <v>60</v>
      </c>
      <c r="D12">
        <v>59464.74</v>
      </c>
    </row>
    <row r="13" spans="1:4" x14ac:dyDescent="0.25">
      <c r="A13" s="49" t="s">
        <v>64</v>
      </c>
      <c r="B13" s="26">
        <v>231</v>
      </c>
      <c r="D13">
        <v>59233.74</v>
      </c>
    </row>
    <row r="14" spans="1:4" x14ac:dyDescent="0.25">
      <c r="A14" s="54" t="s">
        <v>47</v>
      </c>
      <c r="C14" s="26">
        <v>391</v>
      </c>
      <c r="D14">
        <v>59624.74</v>
      </c>
    </row>
  </sheetData>
  <autoFilter ref="A1:D1" xr:uid="{06F9BFFD-2AE8-44D2-AB01-EAE88DE6174B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C7675-B326-40FA-9CB1-8F15E89D4C54}">
  <sheetPr codeName="Sheet23"/>
  <dimension ref="A1:F23"/>
  <sheetViews>
    <sheetView zoomScale="86" zoomScaleNormal="86" workbookViewId="0">
      <selection sqref="A1:D1"/>
    </sheetView>
  </sheetViews>
  <sheetFormatPr defaultRowHeight="15" x14ac:dyDescent="0.25"/>
  <cols>
    <col min="1" max="1" width="19.140625" bestFit="1" customWidth="1"/>
    <col min="2" max="2" width="11.42578125" style="26" bestFit="1" customWidth="1"/>
    <col min="3" max="3" width="9.85546875" style="26" bestFit="1" customWidth="1"/>
    <col min="6" max="6" width="9.7109375" bestFit="1" customWidth="1"/>
  </cols>
  <sheetData>
    <row r="1" spans="1:6" s="5" customFormat="1" ht="30" x14ac:dyDescent="0.25">
      <c r="A1" s="56" t="s">
        <v>19</v>
      </c>
      <c r="B1" s="57" t="s">
        <v>21</v>
      </c>
      <c r="C1" s="57" t="s">
        <v>22</v>
      </c>
      <c r="D1" s="57" t="s">
        <v>18</v>
      </c>
      <c r="F1" s="59"/>
    </row>
    <row r="2" spans="1:6" x14ac:dyDescent="0.25">
      <c r="A2" s="49" t="s">
        <v>59</v>
      </c>
      <c r="B2" s="26">
        <v>2000</v>
      </c>
      <c r="D2">
        <v>57624.74</v>
      </c>
    </row>
    <row r="3" spans="1:6" x14ac:dyDescent="0.25">
      <c r="A3" s="49" t="s">
        <v>15</v>
      </c>
      <c r="B3" s="26">
        <v>155</v>
      </c>
      <c r="D3">
        <v>57469.74</v>
      </c>
    </row>
    <row r="4" spans="1:6" x14ac:dyDescent="0.25">
      <c r="A4" s="49" t="s">
        <v>11</v>
      </c>
      <c r="B4" s="26">
        <v>450</v>
      </c>
      <c r="D4">
        <v>57019.74</v>
      </c>
      <c r="E4" s="54"/>
      <c r="F4" s="49"/>
    </row>
    <row r="5" spans="1:6" x14ac:dyDescent="0.25">
      <c r="A5" s="49" t="s">
        <v>60</v>
      </c>
      <c r="B5" s="26">
        <v>400</v>
      </c>
      <c r="D5">
        <v>56619.74</v>
      </c>
      <c r="E5" s="54"/>
      <c r="F5" s="49"/>
    </row>
    <row r="6" spans="1:6" x14ac:dyDescent="0.25">
      <c r="A6" s="49" t="s">
        <v>25</v>
      </c>
      <c r="B6" s="26">
        <v>200</v>
      </c>
      <c r="D6">
        <v>56419.74</v>
      </c>
      <c r="E6" s="54"/>
      <c r="F6" s="49"/>
    </row>
    <row r="7" spans="1:6" x14ac:dyDescent="0.25">
      <c r="A7" s="49" t="s">
        <v>61</v>
      </c>
      <c r="B7" s="26">
        <v>4398</v>
      </c>
      <c r="D7">
        <v>52021.74</v>
      </c>
      <c r="E7" s="55"/>
      <c r="F7" s="49"/>
    </row>
    <row r="8" spans="1:6" x14ac:dyDescent="0.25">
      <c r="A8" s="49" t="s">
        <v>62</v>
      </c>
      <c r="B8" s="26">
        <v>198</v>
      </c>
      <c r="D8">
        <v>51823.74</v>
      </c>
      <c r="F8" s="49"/>
    </row>
    <row r="9" spans="1:6" x14ac:dyDescent="0.25">
      <c r="A9" s="49" t="s">
        <v>63</v>
      </c>
      <c r="B9" s="26">
        <v>6200</v>
      </c>
      <c r="D9">
        <v>45623.74</v>
      </c>
      <c r="F9" s="49"/>
    </row>
    <row r="10" spans="1:6" x14ac:dyDescent="0.25">
      <c r="A10" s="49" t="s">
        <v>64</v>
      </c>
      <c r="B10" s="26">
        <v>140</v>
      </c>
      <c r="D10">
        <v>45483.74</v>
      </c>
      <c r="F10" s="49"/>
    </row>
    <row r="11" spans="1:6" x14ac:dyDescent="0.25">
      <c r="A11" s="49" t="s">
        <v>66</v>
      </c>
      <c r="B11" s="26">
        <v>550</v>
      </c>
      <c r="D11">
        <v>44913.74</v>
      </c>
      <c r="F11" s="49"/>
    </row>
    <row r="12" spans="1:6" x14ac:dyDescent="0.25">
      <c r="A12" s="49" t="s">
        <v>67</v>
      </c>
      <c r="B12" s="26">
        <v>200</v>
      </c>
      <c r="D12">
        <v>44713.74</v>
      </c>
      <c r="F12" s="49"/>
    </row>
    <row r="13" spans="1:6" x14ac:dyDescent="0.25">
      <c r="A13" s="49" t="s">
        <v>16</v>
      </c>
      <c r="B13" s="26">
        <v>250</v>
      </c>
      <c r="D13">
        <v>44463.74</v>
      </c>
      <c r="F13" s="49"/>
    </row>
    <row r="14" spans="1:6" x14ac:dyDescent="0.25">
      <c r="A14" s="50" t="s">
        <v>68</v>
      </c>
      <c r="B14" s="26">
        <v>250</v>
      </c>
      <c r="D14">
        <v>44213.74</v>
      </c>
      <c r="F14" s="49"/>
    </row>
    <row r="15" spans="1:6" x14ac:dyDescent="0.25">
      <c r="A15" s="49" t="s">
        <v>40</v>
      </c>
      <c r="B15" s="26">
        <v>130</v>
      </c>
      <c r="D15">
        <v>44083.74</v>
      </c>
      <c r="F15" s="49"/>
    </row>
    <row r="16" spans="1:6" x14ac:dyDescent="0.25">
      <c r="A16" s="49" t="s">
        <v>69</v>
      </c>
      <c r="B16" s="26">
        <v>200</v>
      </c>
      <c r="D16">
        <v>43883.74</v>
      </c>
      <c r="F16" s="50"/>
    </row>
    <row r="17" spans="1:6" x14ac:dyDescent="0.25">
      <c r="A17" s="55" t="s">
        <v>71</v>
      </c>
      <c r="C17" s="26">
        <v>499</v>
      </c>
      <c r="D17">
        <v>44382.74</v>
      </c>
      <c r="F17" s="49"/>
    </row>
    <row r="18" spans="1:6" x14ac:dyDescent="0.25">
      <c r="A18" s="49" t="s">
        <v>61</v>
      </c>
      <c r="B18" s="26">
        <v>165</v>
      </c>
      <c r="D18">
        <v>44217.74</v>
      </c>
      <c r="F18" s="49"/>
    </row>
    <row r="19" spans="1:6" x14ac:dyDescent="0.25">
      <c r="A19" s="49" t="s">
        <v>62</v>
      </c>
      <c r="B19" s="26">
        <v>1932.33</v>
      </c>
      <c r="D19">
        <v>42285.41</v>
      </c>
    </row>
    <row r="20" spans="1:6" x14ac:dyDescent="0.25">
      <c r="A20" s="49" t="s">
        <v>63</v>
      </c>
      <c r="B20" s="26">
        <v>57.6</v>
      </c>
      <c r="D20">
        <v>42227.81</v>
      </c>
    </row>
    <row r="21" spans="1:6" x14ac:dyDescent="0.25">
      <c r="A21" s="49" t="s">
        <v>64</v>
      </c>
      <c r="B21" s="26">
        <v>90</v>
      </c>
      <c r="D21">
        <v>42137.81</v>
      </c>
    </row>
    <row r="22" spans="1:6" x14ac:dyDescent="0.25">
      <c r="A22" s="54" t="s">
        <v>70</v>
      </c>
      <c r="C22" s="26">
        <v>10000</v>
      </c>
      <c r="D22">
        <v>42117.81</v>
      </c>
    </row>
    <row r="23" spans="1:6" x14ac:dyDescent="0.25">
      <c r="A23" s="54" t="s">
        <v>47</v>
      </c>
      <c r="C23" s="26">
        <v>1000</v>
      </c>
      <c r="D23">
        <v>43117.81</v>
      </c>
    </row>
  </sheetData>
  <autoFilter ref="A1:D1" xr:uid="{4D9C3B09-F675-4C44-B5FB-46B3A43B226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3B71-C37E-4637-AB4A-C9D9E6B9BB73}">
  <sheetPr codeName="Sheet24" filterMode="1"/>
  <dimension ref="A1:F23"/>
  <sheetViews>
    <sheetView zoomScale="84" zoomScaleNormal="84" workbookViewId="0">
      <selection activeCell="G9" sqref="G9"/>
    </sheetView>
  </sheetViews>
  <sheetFormatPr defaultRowHeight="15" x14ac:dyDescent="0.25"/>
  <cols>
    <col min="1" max="1" width="13.5703125" bestFit="1" customWidth="1"/>
    <col min="2" max="2" width="11.42578125" bestFit="1" customWidth="1"/>
    <col min="3" max="3" width="9.85546875" bestFit="1" customWidth="1"/>
  </cols>
  <sheetData>
    <row r="1" spans="1:6" s="5" customFormat="1" ht="45" x14ac:dyDescent="0.25">
      <c r="A1" s="56" t="s">
        <v>19</v>
      </c>
      <c r="B1" s="57" t="s">
        <v>21</v>
      </c>
      <c r="C1" s="57" t="s">
        <v>22</v>
      </c>
      <c r="D1" s="57" t="s">
        <v>18</v>
      </c>
    </row>
    <row r="2" spans="1:6" x14ac:dyDescent="0.25">
      <c r="A2" s="49" t="s">
        <v>59</v>
      </c>
      <c r="B2">
        <v>338.99</v>
      </c>
      <c r="D2">
        <v>42778.82</v>
      </c>
    </row>
    <row r="3" spans="1:6" x14ac:dyDescent="0.25">
      <c r="A3" s="49" t="s">
        <v>15</v>
      </c>
      <c r="B3">
        <v>324</v>
      </c>
      <c r="D3">
        <v>42454.82</v>
      </c>
    </row>
    <row r="4" spans="1:6" hidden="1" x14ac:dyDescent="0.25">
      <c r="A4" s="54" t="s">
        <v>70</v>
      </c>
      <c r="C4">
        <v>2103.88</v>
      </c>
      <c r="D4">
        <v>44558.7</v>
      </c>
    </row>
    <row r="5" spans="1:6" hidden="1" x14ac:dyDescent="0.25">
      <c r="A5" s="54" t="s">
        <v>47</v>
      </c>
      <c r="C5">
        <v>100</v>
      </c>
      <c r="D5">
        <v>44658.7</v>
      </c>
      <c r="F5" s="54"/>
    </row>
    <row r="6" spans="1:6" x14ac:dyDescent="0.25">
      <c r="A6" s="49" t="s">
        <v>25</v>
      </c>
      <c r="B6">
        <v>200</v>
      </c>
      <c r="D6">
        <v>44458.7</v>
      </c>
      <c r="F6" s="54"/>
    </row>
    <row r="7" spans="1:6" x14ac:dyDescent="0.25">
      <c r="A7" s="49" t="s">
        <v>61</v>
      </c>
      <c r="B7">
        <v>1478</v>
      </c>
      <c r="D7">
        <v>42980.7</v>
      </c>
      <c r="F7" s="54"/>
    </row>
    <row r="8" spans="1:6" hidden="1" x14ac:dyDescent="0.25">
      <c r="A8" s="54" t="s">
        <v>70</v>
      </c>
      <c r="C8">
        <v>5171.49</v>
      </c>
      <c r="D8">
        <v>48152.19</v>
      </c>
      <c r="F8" s="55"/>
    </row>
    <row r="9" spans="1:6" x14ac:dyDescent="0.25">
      <c r="A9" s="49" t="s">
        <v>25</v>
      </c>
      <c r="B9">
        <v>6200</v>
      </c>
      <c r="D9">
        <v>41952.19</v>
      </c>
    </row>
    <row r="10" spans="1:6" x14ac:dyDescent="0.25">
      <c r="A10" s="49" t="s">
        <v>61</v>
      </c>
      <c r="B10">
        <v>2048</v>
      </c>
      <c r="D10">
        <v>39904.19</v>
      </c>
    </row>
    <row r="11" spans="1:6" hidden="1" x14ac:dyDescent="0.25">
      <c r="A11" s="54" t="s">
        <v>20</v>
      </c>
      <c r="C11">
        <v>3</v>
      </c>
      <c r="D11">
        <v>39907.19</v>
      </c>
    </row>
    <row r="12" spans="1:6" hidden="1" x14ac:dyDescent="0.25">
      <c r="A12" s="54" t="s">
        <v>20</v>
      </c>
      <c r="C12">
        <v>100</v>
      </c>
      <c r="D12">
        <v>40007.19</v>
      </c>
    </row>
    <row r="13" spans="1:6" x14ac:dyDescent="0.25">
      <c r="A13" s="49" t="s">
        <v>61</v>
      </c>
      <c r="B13">
        <v>318</v>
      </c>
      <c r="D13">
        <v>39689.19</v>
      </c>
    </row>
    <row r="14" spans="1:6" hidden="1" x14ac:dyDescent="0.25">
      <c r="A14" s="54" t="s">
        <v>20</v>
      </c>
      <c r="C14">
        <v>185</v>
      </c>
      <c r="D14">
        <v>39874.19</v>
      </c>
    </row>
    <row r="15" spans="1:6" x14ac:dyDescent="0.25">
      <c r="A15" s="49" t="s">
        <v>64</v>
      </c>
      <c r="B15">
        <v>1799</v>
      </c>
      <c r="D15">
        <v>38075.19</v>
      </c>
    </row>
    <row r="16" spans="1:6" x14ac:dyDescent="0.25">
      <c r="A16" s="49" t="s">
        <v>66</v>
      </c>
      <c r="B16">
        <v>247</v>
      </c>
      <c r="D16">
        <v>37424.19</v>
      </c>
    </row>
    <row r="17" spans="1:4" x14ac:dyDescent="0.25">
      <c r="A17" s="49" t="s">
        <v>67</v>
      </c>
      <c r="B17">
        <v>524.20000000000005</v>
      </c>
      <c r="D17">
        <v>36899.99</v>
      </c>
    </row>
    <row r="18" spans="1:4" x14ac:dyDescent="0.25">
      <c r="A18" s="49" t="s">
        <v>16</v>
      </c>
      <c r="B18">
        <v>65</v>
      </c>
      <c r="D18">
        <v>36834.99</v>
      </c>
    </row>
    <row r="19" spans="1:4" x14ac:dyDescent="0.25">
      <c r="A19" s="50" t="s">
        <v>68</v>
      </c>
      <c r="B19">
        <v>880</v>
      </c>
      <c r="D19">
        <v>35954.99</v>
      </c>
    </row>
    <row r="20" spans="1:4" hidden="1" x14ac:dyDescent="0.25">
      <c r="A20" s="54" t="s">
        <v>20</v>
      </c>
      <c r="C20">
        <v>100</v>
      </c>
      <c r="D20">
        <v>36054.99</v>
      </c>
    </row>
    <row r="21" spans="1:4" x14ac:dyDescent="0.25">
      <c r="A21" s="49" t="s">
        <v>67</v>
      </c>
      <c r="B21">
        <v>36</v>
      </c>
      <c r="D21">
        <v>36018.99</v>
      </c>
    </row>
    <row r="22" spans="1:4" x14ac:dyDescent="0.25">
      <c r="A22" s="49" t="s">
        <v>16</v>
      </c>
      <c r="B22">
        <v>26</v>
      </c>
      <c r="D22">
        <v>35992.99</v>
      </c>
    </row>
    <row r="23" spans="1:4" x14ac:dyDescent="0.25">
      <c r="A23" s="50" t="s">
        <v>68</v>
      </c>
      <c r="B23">
        <v>40</v>
      </c>
      <c r="D23">
        <v>35952.99</v>
      </c>
    </row>
  </sheetData>
  <autoFilter ref="A1:D23" xr:uid="{A24E601C-4803-4B68-A888-8D662EAFB514}">
    <filterColumn colId="2">
      <filters blank="1"/>
    </filterColumn>
  </autoFilter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31729-4382-4CA7-8BE4-BE9087E7DE73}">
  <sheetPr codeName="Sheet25"/>
  <dimension ref="A1:H17"/>
  <sheetViews>
    <sheetView topLeftCell="B1" workbookViewId="0">
      <selection activeCell="B1" sqref="B1:E1"/>
    </sheetView>
  </sheetViews>
  <sheetFormatPr defaultRowHeight="15" x14ac:dyDescent="0.25"/>
  <cols>
    <col min="1" max="1" width="18.28515625" style="29" bestFit="1" customWidth="1"/>
    <col min="2" max="2" width="19.140625" bestFit="1" customWidth="1"/>
    <col min="3" max="3" width="11.42578125" bestFit="1" customWidth="1"/>
    <col min="4" max="4" width="9.85546875" bestFit="1" customWidth="1"/>
    <col min="5" max="5" width="8.5703125" bestFit="1" customWidth="1"/>
  </cols>
  <sheetData>
    <row r="1" spans="1:8" s="5" customFormat="1" ht="30" x14ac:dyDescent="0.25">
      <c r="A1" s="28" t="s">
        <v>17</v>
      </c>
      <c r="B1" s="56" t="s">
        <v>19</v>
      </c>
      <c r="C1" s="57" t="s">
        <v>21</v>
      </c>
      <c r="D1" s="57" t="s">
        <v>22</v>
      </c>
      <c r="E1" s="57" t="s">
        <v>18</v>
      </c>
    </row>
    <row r="2" spans="1:8" x14ac:dyDescent="0.25">
      <c r="A2" s="29" t="s">
        <v>27</v>
      </c>
      <c r="B2" s="49" t="s">
        <v>15</v>
      </c>
      <c r="C2" s="27">
        <v>500</v>
      </c>
      <c r="D2" s="26"/>
      <c r="E2" s="26">
        <v>34960.99</v>
      </c>
      <c r="F2" s="49"/>
    </row>
    <row r="3" spans="1:8" x14ac:dyDescent="0.25">
      <c r="A3" s="29" t="s">
        <v>28</v>
      </c>
      <c r="B3" s="49" t="s">
        <v>11</v>
      </c>
      <c r="C3" s="27">
        <v>1074</v>
      </c>
      <c r="D3" s="26"/>
      <c r="E3" s="26">
        <v>33886.99</v>
      </c>
      <c r="F3" s="49"/>
      <c r="H3" s="54"/>
    </row>
    <row r="4" spans="1:8" x14ac:dyDescent="0.25">
      <c r="A4" s="29" t="s">
        <v>29</v>
      </c>
      <c r="B4" s="54" t="s">
        <v>47</v>
      </c>
      <c r="C4" s="27"/>
      <c r="D4" s="26">
        <v>65</v>
      </c>
      <c r="E4" s="26">
        <v>33951.99</v>
      </c>
      <c r="F4" s="49"/>
      <c r="H4" s="54"/>
    </row>
    <row r="5" spans="1:8" x14ac:dyDescent="0.25">
      <c r="A5" s="29" t="s">
        <v>30</v>
      </c>
      <c r="B5" s="49" t="s">
        <v>62</v>
      </c>
      <c r="C5" s="27">
        <v>470</v>
      </c>
      <c r="D5" s="26"/>
      <c r="E5" s="26">
        <v>33385.99</v>
      </c>
      <c r="F5" s="49"/>
      <c r="H5" s="54"/>
    </row>
    <row r="6" spans="1:8" x14ac:dyDescent="0.25">
      <c r="A6" s="29" t="s">
        <v>31</v>
      </c>
      <c r="B6" s="49" t="s">
        <v>63</v>
      </c>
      <c r="C6" s="27">
        <v>6200</v>
      </c>
      <c r="D6" s="26"/>
      <c r="E6" s="26">
        <v>27185.99</v>
      </c>
      <c r="F6" s="49"/>
      <c r="H6" s="55"/>
    </row>
    <row r="7" spans="1:8" x14ac:dyDescent="0.25">
      <c r="A7" s="29" t="s">
        <v>32</v>
      </c>
      <c r="B7" s="49" t="s">
        <v>64</v>
      </c>
      <c r="C7" s="27">
        <v>5000</v>
      </c>
      <c r="D7" s="26"/>
      <c r="E7" s="26">
        <v>22185.99</v>
      </c>
      <c r="F7" s="49"/>
    </row>
    <row r="8" spans="1:8" x14ac:dyDescent="0.25">
      <c r="A8" s="29" t="s">
        <v>33</v>
      </c>
      <c r="B8" s="55" t="s">
        <v>71</v>
      </c>
      <c r="C8" s="27"/>
      <c r="D8" s="26">
        <v>87.41</v>
      </c>
      <c r="E8" s="26">
        <v>22273.4</v>
      </c>
      <c r="F8" s="49"/>
    </row>
    <row r="9" spans="1:8" x14ac:dyDescent="0.25">
      <c r="A9" s="29" t="s">
        <v>34</v>
      </c>
      <c r="B9" s="55" t="s">
        <v>71</v>
      </c>
      <c r="D9" s="27">
        <v>10000</v>
      </c>
      <c r="E9" s="26">
        <v>22103.4</v>
      </c>
      <c r="F9" s="49"/>
    </row>
    <row r="10" spans="1:8" x14ac:dyDescent="0.25">
      <c r="A10" s="29" t="s">
        <v>35</v>
      </c>
      <c r="B10" s="54" t="s">
        <v>70</v>
      </c>
      <c r="C10" s="27"/>
      <c r="D10" s="26">
        <v>50000</v>
      </c>
      <c r="E10" s="26">
        <v>22073.4</v>
      </c>
      <c r="F10" s="49"/>
    </row>
    <row r="11" spans="1:8" x14ac:dyDescent="0.25">
      <c r="A11" s="29" t="s">
        <v>36</v>
      </c>
      <c r="B11" s="49" t="s">
        <v>61</v>
      </c>
      <c r="C11" s="27">
        <v>50</v>
      </c>
      <c r="D11" s="26"/>
      <c r="E11" s="26">
        <v>22023.4</v>
      </c>
      <c r="F11" s="49"/>
    </row>
    <row r="12" spans="1:8" x14ac:dyDescent="0.25">
      <c r="A12" s="29" t="s">
        <v>37</v>
      </c>
      <c r="B12" s="49" t="s">
        <v>62</v>
      </c>
      <c r="C12" s="27">
        <v>50</v>
      </c>
      <c r="D12" s="26"/>
      <c r="E12" s="26">
        <v>21973.4</v>
      </c>
      <c r="F12" s="49"/>
    </row>
    <row r="13" spans="1:8" x14ac:dyDescent="0.25">
      <c r="A13" s="29" t="s">
        <v>38</v>
      </c>
      <c r="B13" s="54" t="s">
        <v>47</v>
      </c>
      <c r="C13" s="27"/>
      <c r="D13" s="26">
        <v>263</v>
      </c>
      <c r="E13" s="26">
        <v>22236.400000000001</v>
      </c>
      <c r="F13" s="49"/>
    </row>
    <row r="14" spans="1:8" x14ac:dyDescent="0.25">
      <c r="F14" s="49"/>
    </row>
    <row r="15" spans="1:8" x14ac:dyDescent="0.25">
      <c r="F15" s="50"/>
    </row>
    <row r="16" spans="1:8" x14ac:dyDescent="0.25">
      <c r="F16" s="49"/>
    </row>
    <row r="17" spans="6:6" x14ac:dyDescent="0.25">
      <c r="F17" s="49"/>
    </row>
  </sheetData>
  <autoFilter ref="A1:E13" xr:uid="{9655A00C-C9C6-49F0-A64F-8E1FABC454A2}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631D-597A-4B10-A03A-38A21FCB6B5D}">
  <sheetPr codeName="Sheet26"/>
  <dimension ref="A1:D19"/>
  <sheetViews>
    <sheetView workbookViewId="0">
      <selection sqref="A1:D1"/>
    </sheetView>
  </sheetViews>
  <sheetFormatPr defaultRowHeight="15" x14ac:dyDescent="0.25"/>
  <cols>
    <col min="1" max="1" width="19.140625" bestFit="1" customWidth="1"/>
    <col min="2" max="2" width="8.5703125" style="26" bestFit="1" customWidth="1"/>
    <col min="3" max="3" width="9.85546875" style="26" bestFit="1" customWidth="1"/>
    <col min="4" max="4" width="9.140625" bestFit="1" customWidth="1"/>
  </cols>
  <sheetData>
    <row r="1" spans="1:4" s="5" customFormat="1" ht="45" x14ac:dyDescent="0.25">
      <c r="A1" s="56" t="s">
        <v>19</v>
      </c>
      <c r="B1" s="57" t="s">
        <v>21</v>
      </c>
      <c r="C1" s="57" t="s">
        <v>22</v>
      </c>
      <c r="D1" s="57" t="s">
        <v>18</v>
      </c>
    </row>
    <row r="2" spans="1:4" x14ac:dyDescent="0.25">
      <c r="A2" s="49" t="s">
        <v>59</v>
      </c>
      <c r="B2" s="26">
        <v>1329</v>
      </c>
      <c r="D2" s="9">
        <v>20907.400000000001</v>
      </c>
    </row>
    <row r="3" spans="1:4" x14ac:dyDescent="0.25">
      <c r="A3" s="49" t="s">
        <v>15</v>
      </c>
      <c r="B3" s="26">
        <v>832</v>
      </c>
      <c r="D3" s="9">
        <v>20075.400000000001</v>
      </c>
    </row>
    <row r="4" spans="1:4" x14ac:dyDescent="0.25">
      <c r="A4" s="49" t="s">
        <v>11</v>
      </c>
      <c r="B4" s="26">
        <v>171</v>
      </c>
      <c r="D4" s="9">
        <v>19904.400000000001</v>
      </c>
    </row>
    <row r="5" spans="1:4" x14ac:dyDescent="0.25">
      <c r="A5" s="49" t="s">
        <v>60</v>
      </c>
      <c r="B5" s="26">
        <v>6500</v>
      </c>
      <c r="D5" s="9">
        <v>13404.4</v>
      </c>
    </row>
    <row r="6" spans="1:4" x14ac:dyDescent="0.25">
      <c r="A6" s="54" t="s">
        <v>70</v>
      </c>
      <c r="C6" s="26">
        <v>10000</v>
      </c>
      <c r="D6" s="9">
        <v>19404.400000000001</v>
      </c>
    </row>
    <row r="7" spans="1:4" x14ac:dyDescent="0.25">
      <c r="A7" s="49" t="s">
        <v>63</v>
      </c>
      <c r="B7" s="26">
        <v>1</v>
      </c>
      <c r="D7" s="9">
        <v>19403.400000000001</v>
      </c>
    </row>
    <row r="8" spans="1:4" x14ac:dyDescent="0.25">
      <c r="A8" s="49" t="s">
        <v>64</v>
      </c>
      <c r="B8" s="26">
        <v>6000</v>
      </c>
      <c r="D8" s="9">
        <v>13403.4</v>
      </c>
    </row>
    <row r="9" spans="1:4" x14ac:dyDescent="0.25">
      <c r="A9" s="49" t="s">
        <v>65</v>
      </c>
      <c r="B9" s="26">
        <v>693</v>
      </c>
      <c r="D9" s="9">
        <v>12710.4</v>
      </c>
    </row>
    <row r="10" spans="1:4" x14ac:dyDescent="0.25">
      <c r="A10" s="54" t="s">
        <v>20</v>
      </c>
      <c r="C10" s="26">
        <v>693</v>
      </c>
      <c r="D10" s="9">
        <v>13403.4</v>
      </c>
    </row>
    <row r="11" spans="1:4" x14ac:dyDescent="0.25">
      <c r="A11" s="54" t="s">
        <v>70</v>
      </c>
      <c r="C11" s="26">
        <v>45</v>
      </c>
      <c r="D11" s="9">
        <v>13448.4</v>
      </c>
    </row>
    <row r="12" spans="1:4" x14ac:dyDescent="0.25">
      <c r="A12" s="54" t="s">
        <v>47</v>
      </c>
      <c r="C12" s="26">
        <v>1</v>
      </c>
      <c r="D12" s="9">
        <v>13449.4</v>
      </c>
    </row>
    <row r="13" spans="1:4" x14ac:dyDescent="0.25">
      <c r="A13" s="55" t="s">
        <v>71</v>
      </c>
      <c r="C13" s="26">
        <v>1.2</v>
      </c>
      <c r="D13" s="9">
        <v>13450.6</v>
      </c>
    </row>
    <row r="14" spans="1:4" x14ac:dyDescent="0.25">
      <c r="A14" s="54" t="s">
        <v>20</v>
      </c>
      <c r="C14" s="26">
        <v>32</v>
      </c>
      <c r="D14" s="9">
        <v>13482.6</v>
      </c>
    </row>
    <row r="15" spans="1:4" x14ac:dyDescent="0.25">
      <c r="A15" s="54" t="s">
        <v>20</v>
      </c>
      <c r="C15" s="26">
        <v>15</v>
      </c>
      <c r="D15" s="9">
        <v>13497.6</v>
      </c>
    </row>
    <row r="16" spans="1:4" x14ac:dyDescent="0.25">
      <c r="A16" s="49" t="s">
        <v>64</v>
      </c>
      <c r="B16" s="26">
        <v>271</v>
      </c>
      <c r="D16" s="9">
        <v>13226.6</v>
      </c>
    </row>
    <row r="17" spans="1:4" x14ac:dyDescent="0.25">
      <c r="A17" s="49" t="s">
        <v>65</v>
      </c>
      <c r="B17" s="26">
        <v>76</v>
      </c>
      <c r="D17" s="9">
        <v>13150.6</v>
      </c>
    </row>
    <row r="18" spans="1:4" x14ac:dyDescent="0.25">
      <c r="A18" s="54" t="s">
        <v>47</v>
      </c>
      <c r="C18" s="26">
        <v>76</v>
      </c>
      <c r="D18" s="9">
        <v>13226.6</v>
      </c>
    </row>
    <row r="19" spans="1:4" x14ac:dyDescent="0.25">
      <c r="A19" s="55" t="s">
        <v>71</v>
      </c>
      <c r="C19" s="26">
        <v>6000</v>
      </c>
      <c r="D19" s="9">
        <v>19226.599999999999</v>
      </c>
    </row>
  </sheetData>
  <autoFilter ref="A1:D1" xr:uid="{6FA2C9F3-D94B-4D79-ADC2-705446FD9ADF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21B0D-EBB9-4F18-AEB6-9723D52673CB}">
  <sheetPr codeName="Sheet27"/>
  <dimension ref="A1:G27"/>
  <sheetViews>
    <sheetView topLeftCell="B1" workbookViewId="0">
      <selection activeCell="B1" sqref="B1:E1"/>
    </sheetView>
  </sheetViews>
  <sheetFormatPr defaultRowHeight="15" x14ac:dyDescent="0.25"/>
  <cols>
    <col min="1" max="1" width="15.5703125" bestFit="1" customWidth="1"/>
    <col min="2" max="2" width="23" customWidth="1"/>
    <col min="3" max="3" width="16" style="26" customWidth="1"/>
    <col min="4" max="4" width="15.28515625" customWidth="1"/>
    <col min="5" max="5" width="9.140625" bestFit="1" customWidth="1"/>
  </cols>
  <sheetData>
    <row r="1" spans="1:7" s="5" customFormat="1" ht="30" x14ac:dyDescent="0.25">
      <c r="A1" s="11" t="s">
        <v>17</v>
      </c>
      <c r="B1" s="56" t="s">
        <v>19</v>
      </c>
      <c r="C1" s="57" t="s">
        <v>21</v>
      </c>
      <c r="D1" s="57" t="s">
        <v>22</v>
      </c>
      <c r="E1" s="57" t="s">
        <v>18</v>
      </c>
    </row>
    <row r="2" spans="1:7" x14ac:dyDescent="0.25">
      <c r="A2" s="10">
        <v>45172.627638888887</v>
      </c>
      <c r="B2" s="54" t="s">
        <v>70</v>
      </c>
      <c r="D2" s="9">
        <v>10000</v>
      </c>
      <c r="E2" s="9">
        <v>11969.1</v>
      </c>
      <c r="G2" s="26"/>
    </row>
    <row r="3" spans="1:7" x14ac:dyDescent="0.25">
      <c r="A3" s="10">
        <v>45172.641527777778</v>
      </c>
      <c r="B3" s="49" t="s">
        <v>15</v>
      </c>
      <c r="C3" s="26">
        <v>5000</v>
      </c>
      <c r="E3" s="9">
        <v>6969.1</v>
      </c>
    </row>
    <row r="4" spans="1:7" x14ac:dyDescent="0.25">
      <c r="A4" s="10">
        <v>45174.534953703704</v>
      </c>
      <c r="B4" s="55" t="s">
        <v>71</v>
      </c>
      <c r="D4" s="9">
        <v>5538</v>
      </c>
      <c r="E4" s="9">
        <v>12507.1</v>
      </c>
    </row>
    <row r="5" spans="1:7" x14ac:dyDescent="0.25">
      <c r="A5" s="10">
        <v>45180.629328703704</v>
      </c>
      <c r="B5" s="49" t="s">
        <v>11</v>
      </c>
      <c r="C5" s="26">
        <v>6000</v>
      </c>
      <c r="E5" s="9">
        <v>6507.1</v>
      </c>
    </row>
    <row r="6" spans="1:7" x14ac:dyDescent="0.25">
      <c r="A6" s="10">
        <v>45181.245162037034</v>
      </c>
      <c r="B6" s="55" t="s">
        <v>71</v>
      </c>
      <c r="D6" s="9">
        <v>9135.49</v>
      </c>
      <c r="E6" s="9">
        <v>15642.59</v>
      </c>
    </row>
    <row r="7" spans="1:7" x14ac:dyDescent="0.25">
      <c r="A7" s="10">
        <v>45181.79142361111</v>
      </c>
      <c r="B7" s="49" t="s">
        <v>25</v>
      </c>
      <c r="C7" s="26">
        <v>100</v>
      </c>
      <c r="E7" s="9">
        <v>15542.59</v>
      </c>
    </row>
    <row r="8" spans="1:7" x14ac:dyDescent="0.25">
      <c r="A8" s="10">
        <v>45182.48678240741</v>
      </c>
      <c r="B8" s="54" t="s">
        <v>47</v>
      </c>
      <c r="D8">
        <v>500</v>
      </c>
      <c r="E8" s="9">
        <v>16042.59</v>
      </c>
    </row>
    <row r="9" spans="1:7" x14ac:dyDescent="0.25">
      <c r="A9" s="10">
        <v>45182.560891203706</v>
      </c>
      <c r="B9" s="54" t="s">
        <v>20</v>
      </c>
      <c r="D9">
        <v>860</v>
      </c>
      <c r="E9" s="9">
        <v>16043.59</v>
      </c>
    </row>
    <row r="10" spans="1:7" x14ac:dyDescent="0.25">
      <c r="A10" s="10">
        <v>45183.155659722222</v>
      </c>
      <c r="B10" s="54" t="s">
        <v>20</v>
      </c>
      <c r="D10" s="9">
        <v>4000</v>
      </c>
      <c r="E10" s="9">
        <v>20043.59</v>
      </c>
    </row>
    <row r="11" spans="1:7" x14ac:dyDescent="0.25">
      <c r="A11" s="10">
        <v>45186.320393518516</v>
      </c>
      <c r="B11" s="49" t="s">
        <v>64</v>
      </c>
      <c r="C11" s="26">
        <v>500</v>
      </c>
      <c r="E11" s="9">
        <v>19543.59</v>
      </c>
    </row>
    <row r="12" spans="1:7" x14ac:dyDescent="0.25">
      <c r="A12" s="10">
        <v>45187.514479166668</v>
      </c>
      <c r="B12" s="54" t="s">
        <v>20</v>
      </c>
      <c r="D12">
        <v>3.6</v>
      </c>
      <c r="E12" s="9">
        <v>19547.189999999999</v>
      </c>
    </row>
    <row r="13" spans="1:7" x14ac:dyDescent="0.25">
      <c r="A13" s="10">
        <v>45187.714768518519</v>
      </c>
      <c r="B13" s="49" t="s">
        <v>66</v>
      </c>
      <c r="C13" s="26">
        <v>80</v>
      </c>
      <c r="E13" s="9">
        <v>19467.189999999999</v>
      </c>
    </row>
    <row r="14" spans="1:7" x14ac:dyDescent="0.25">
      <c r="A14" s="10">
        <v>45191.585613425923</v>
      </c>
      <c r="B14" s="49" t="s">
        <v>67</v>
      </c>
      <c r="C14" s="26">
        <v>365</v>
      </c>
      <c r="E14" s="9">
        <v>19102.189999999999</v>
      </c>
    </row>
    <row r="15" spans="1:7" x14ac:dyDescent="0.25">
      <c r="A15" s="10">
        <v>45192.893541666665</v>
      </c>
      <c r="B15" s="49" t="s">
        <v>16</v>
      </c>
      <c r="C15" s="26">
        <v>7</v>
      </c>
      <c r="E15" s="9">
        <v>19095.189999999999</v>
      </c>
    </row>
    <row r="16" spans="1:7" x14ac:dyDescent="0.25">
      <c r="A16" s="10">
        <v>45193.872881944444</v>
      </c>
      <c r="B16" s="50" t="s">
        <v>68</v>
      </c>
      <c r="C16" s="26">
        <v>100</v>
      </c>
      <c r="E16" s="9">
        <v>18995.189999999999</v>
      </c>
    </row>
    <row r="17" spans="1:6" x14ac:dyDescent="0.25">
      <c r="A17" s="10">
        <v>45195.600231481483</v>
      </c>
      <c r="B17" s="49" t="s">
        <v>40</v>
      </c>
      <c r="C17" s="26">
        <v>3</v>
      </c>
      <c r="E17" s="9">
        <v>18992.189999999999</v>
      </c>
    </row>
    <row r="18" spans="1:6" x14ac:dyDescent="0.25">
      <c r="A18" s="10">
        <v>45196.212037037039</v>
      </c>
      <c r="B18" s="54" t="s">
        <v>20</v>
      </c>
      <c r="D18">
        <v>5</v>
      </c>
      <c r="E18" s="9">
        <v>18997.189999999999</v>
      </c>
    </row>
    <row r="19" spans="1:6" x14ac:dyDescent="0.25">
      <c r="A19" s="10">
        <v>45197.390972222223</v>
      </c>
      <c r="B19" s="49" t="s">
        <v>16</v>
      </c>
      <c r="C19" s="26">
        <v>719</v>
      </c>
      <c r="E19" s="9">
        <v>18278.189999999999</v>
      </c>
    </row>
    <row r="20" spans="1:6" x14ac:dyDescent="0.25">
      <c r="A20" s="10">
        <v>45199.545937499999</v>
      </c>
      <c r="B20" s="55" t="s">
        <v>71</v>
      </c>
      <c r="D20" s="9">
        <v>1000</v>
      </c>
      <c r="E20" s="9">
        <v>19278.189999999999</v>
      </c>
    </row>
    <row r="24" spans="1:6" x14ac:dyDescent="0.25">
      <c r="F24" s="54"/>
    </row>
    <row r="25" spans="1:6" x14ac:dyDescent="0.25">
      <c r="F25" s="54"/>
    </row>
    <row r="26" spans="1:6" x14ac:dyDescent="0.25">
      <c r="F26" s="54"/>
    </row>
    <row r="27" spans="1:6" x14ac:dyDescent="0.25">
      <c r="F27" s="55"/>
    </row>
  </sheetData>
  <autoFilter ref="A1:G20" xr:uid="{9B781AB5-9AFE-4DEB-93DF-58A9F424A4A9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6C2EB-A142-467F-9CA0-C1C1108B4500}">
  <sheetPr codeName="Sheet28"/>
  <dimension ref="A1:D21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2" max="2" width="11.42578125" style="26" bestFit="1" customWidth="1"/>
    <col min="3" max="3" width="9.85546875" bestFit="1" customWidth="1"/>
    <col min="4" max="4" width="9.140625" bestFit="1" customWidth="1"/>
  </cols>
  <sheetData>
    <row r="1" spans="1:4" s="5" customFormat="1" ht="30" x14ac:dyDescent="0.25">
      <c r="A1" s="56" t="s">
        <v>19</v>
      </c>
      <c r="B1" s="57" t="s">
        <v>21</v>
      </c>
      <c r="C1" s="57" t="s">
        <v>22</v>
      </c>
      <c r="D1" s="57" t="s">
        <v>18</v>
      </c>
    </row>
    <row r="2" spans="1:4" x14ac:dyDescent="0.25">
      <c r="A2" s="49" t="s">
        <v>59</v>
      </c>
      <c r="B2" s="26">
        <v>60</v>
      </c>
      <c r="D2" s="9">
        <v>19218.189999999999</v>
      </c>
    </row>
    <row r="3" spans="1:4" x14ac:dyDescent="0.25">
      <c r="A3" s="49" t="s">
        <v>15</v>
      </c>
      <c r="B3" s="26">
        <v>300</v>
      </c>
      <c r="D3" s="9">
        <v>18918.189999999999</v>
      </c>
    </row>
    <row r="4" spans="1:4" x14ac:dyDescent="0.25">
      <c r="A4" s="49" t="s">
        <v>60</v>
      </c>
      <c r="B4" s="26">
        <v>120</v>
      </c>
      <c r="D4" s="9">
        <v>18798.189999999999</v>
      </c>
    </row>
    <row r="5" spans="1:4" x14ac:dyDescent="0.25">
      <c r="A5" s="55" t="s">
        <v>71</v>
      </c>
      <c r="C5">
        <v>5000</v>
      </c>
      <c r="D5" s="9">
        <v>18748.189999999999</v>
      </c>
    </row>
    <row r="6" spans="1:4" x14ac:dyDescent="0.25">
      <c r="A6" s="49" t="s">
        <v>63</v>
      </c>
      <c r="B6" s="26">
        <v>200</v>
      </c>
      <c r="D6" s="9">
        <v>17848.189999999999</v>
      </c>
    </row>
    <row r="7" spans="1:4" x14ac:dyDescent="0.25">
      <c r="A7" s="54" t="s">
        <v>70</v>
      </c>
      <c r="C7">
        <v>10000</v>
      </c>
      <c r="D7" s="9">
        <v>17648.189999999999</v>
      </c>
    </row>
    <row r="8" spans="1:4" x14ac:dyDescent="0.25">
      <c r="A8" s="49" t="s">
        <v>66</v>
      </c>
      <c r="B8" s="26">
        <v>6000</v>
      </c>
      <c r="D8" s="9">
        <v>11648.19</v>
      </c>
    </row>
    <row r="9" spans="1:4" x14ac:dyDescent="0.25">
      <c r="A9" s="49" t="s">
        <v>67</v>
      </c>
      <c r="B9" s="26">
        <v>5000</v>
      </c>
      <c r="D9" s="9">
        <v>7438.19</v>
      </c>
    </row>
    <row r="10" spans="1:4" x14ac:dyDescent="0.25">
      <c r="A10" s="49" t="s">
        <v>16</v>
      </c>
      <c r="B10" s="26">
        <v>571.1</v>
      </c>
      <c r="D10" s="9">
        <v>6867.09</v>
      </c>
    </row>
    <row r="11" spans="1:4" x14ac:dyDescent="0.25">
      <c r="A11" s="50" t="s">
        <v>68</v>
      </c>
      <c r="B11" s="26">
        <v>169.1</v>
      </c>
      <c r="D11" s="9">
        <v>6697.99</v>
      </c>
    </row>
    <row r="12" spans="1:4" x14ac:dyDescent="0.25">
      <c r="A12" s="49" t="s">
        <v>16</v>
      </c>
      <c r="B12" s="26">
        <v>191.95</v>
      </c>
      <c r="D12" s="9">
        <v>6506.04</v>
      </c>
    </row>
    <row r="13" spans="1:4" x14ac:dyDescent="0.25">
      <c r="A13" s="54" t="s">
        <v>20</v>
      </c>
      <c r="C13">
        <v>26.6</v>
      </c>
      <c r="D13" s="9">
        <v>6532.64</v>
      </c>
    </row>
    <row r="15" spans="1:4" x14ac:dyDescent="0.25">
      <c r="A15" s="26"/>
    </row>
    <row r="17" spans="1:1" x14ac:dyDescent="0.25">
      <c r="A17" s="26"/>
    </row>
    <row r="20" spans="1:1" x14ac:dyDescent="0.25">
      <c r="A20" s="26"/>
    </row>
    <row r="21" spans="1:1" x14ac:dyDescent="0.25">
      <c r="A21" s="26"/>
    </row>
  </sheetData>
  <autoFilter ref="A1:D13" xr:uid="{8B14FFED-45E5-4D59-9B8F-6ECD461D1FDE}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28B25-E128-41A0-805E-90EA8A342D85}">
  <sheetPr codeName="Sheet29"/>
  <dimension ref="A1:D13"/>
  <sheetViews>
    <sheetView workbookViewId="0">
      <selection sqref="A1:D1"/>
    </sheetView>
  </sheetViews>
  <sheetFormatPr defaultRowHeight="15" x14ac:dyDescent="0.25"/>
  <cols>
    <col min="1" max="1" width="11.140625" bestFit="1" customWidth="1"/>
    <col min="2" max="2" width="11.42578125" bestFit="1" customWidth="1"/>
    <col min="3" max="3" width="9.85546875" bestFit="1" customWidth="1"/>
    <col min="4" max="4" width="9.140625" bestFit="1" customWidth="1"/>
  </cols>
  <sheetData>
    <row r="1" spans="1:4" s="5" customFormat="1" ht="30" x14ac:dyDescent="0.25">
      <c r="A1" s="56" t="s">
        <v>19</v>
      </c>
      <c r="B1" s="57" t="s">
        <v>21</v>
      </c>
      <c r="C1" s="57" t="s">
        <v>22</v>
      </c>
      <c r="D1" s="57" t="s">
        <v>18</v>
      </c>
    </row>
    <row r="2" spans="1:4" ht="38.25" x14ac:dyDescent="0.25">
      <c r="A2" s="55" t="s">
        <v>71</v>
      </c>
      <c r="B2" s="27"/>
      <c r="C2" s="26">
        <v>87.41</v>
      </c>
      <c r="D2" s="26">
        <v>22273.4</v>
      </c>
    </row>
    <row r="3" spans="1:4" ht="38.25" x14ac:dyDescent="0.25">
      <c r="A3" s="55" t="s">
        <v>71</v>
      </c>
      <c r="C3" s="27">
        <v>10000</v>
      </c>
      <c r="D3" s="26">
        <v>22103.4</v>
      </c>
    </row>
    <row r="4" spans="1:4" x14ac:dyDescent="0.25">
      <c r="A4" s="54" t="s">
        <v>70</v>
      </c>
      <c r="B4" s="27"/>
      <c r="C4" s="26">
        <v>50000</v>
      </c>
      <c r="D4" s="26">
        <v>22073.4</v>
      </c>
    </row>
    <row r="5" spans="1:4" x14ac:dyDescent="0.25">
      <c r="A5" s="49" t="s">
        <v>61</v>
      </c>
      <c r="B5" s="27">
        <v>50</v>
      </c>
      <c r="C5" s="26"/>
      <c r="D5" s="26">
        <v>22023.4</v>
      </c>
    </row>
    <row r="6" spans="1:4" x14ac:dyDescent="0.25">
      <c r="A6" s="49" t="s">
        <v>62</v>
      </c>
      <c r="B6" s="27">
        <v>50</v>
      </c>
      <c r="C6" s="26"/>
      <c r="D6" s="26">
        <v>21973.4</v>
      </c>
    </row>
    <row r="7" spans="1:4" x14ac:dyDescent="0.25">
      <c r="A7" s="54" t="s">
        <v>47</v>
      </c>
      <c r="B7" s="27"/>
      <c r="C7" s="26">
        <v>263</v>
      </c>
      <c r="D7" s="26">
        <v>22236.400000000001</v>
      </c>
    </row>
    <row r="8" spans="1:4" ht="25.5" x14ac:dyDescent="0.25">
      <c r="A8" s="49" t="s">
        <v>65</v>
      </c>
      <c r="B8" s="26">
        <v>693</v>
      </c>
      <c r="C8" s="26"/>
      <c r="D8" s="9">
        <v>12710.4</v>
      </c>
    </row>
    <row r="9" spans="1:4" x14ac:dyDescent="0.25">
      <c r="A9" s="54" t="s">
        <v>20</v>
      </c>
      <c r="B9" s="26"/>
      <c r="C9" s="26">
        <v>693</v>
      </c>
      <c r="D9" s="9">
        <v>13403.4</v>
      </c>
    </row>
    <row r="10" spans="1:4" x14ac:dyDescent="0.25">
      <c r="A10" s="54" t="s">
        <v>70</v>
      </c>
      <c r="B10" s="26"/>
      <c r="C10" s="26">
        <v>45</v>
      </c>
      <c r="D10" s="9">
        <v>13448.4</v>
      </c>
    </row>
    <row r="11" spans="1:4" x14ac:dyDescent="0.25">
      <c r="A11" s="54" t="s">
        <v>47</v>
      </c>
      <c r="B11" s="26"/>
      <c r="C11" s="26">
        <v>1</v>
      </c>
      <c r="D11" s="9">
        <v>13449.4</v>
      </c>
    </row>
    <row r="12" spans="1:4" ht="38.25" x14ac:dyDescent="0.25">
      <c r="A12" s="55" t="s">
        <v>71</v>
      </c>
      <c r="B12" s="26"/>
      <c r="C12" s="26">
        <v>1.2</v>
      </c>
      <c r="D12" s="9">
        <v>13450.6</v>
      </c>
    </row>
    <row r="13" spans="1:4" x14ac:dyDescent="0.25">
      <c r="A13" s="54" t="s">
        <v>20</v>
      </c>
      <c r="B13" s="26"/>
      <c r="C13" s="26">
        <v>32</v>
      </c>
      <c r="D13" s="9">
        <v>13482.6</v>
      </c>
    </row>
  </sheetData>
  <autoFilter ref="A1:D1" xr:uid="{9BC98C45-7A73-40D8-93A8-29840BAA661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B82E8-A19B-4944-8DA5-3F08B56D8715}">
  <sheetPr codeName="Sheet30"/>
  <dimension ref="A1:D13"/>
  <sheetViews>
    <sheetView workbookViewId="0">
      <selection sqref="A1:D1"/>
    </sheetView>
  </sheetViews>
  <sheetFormatPr defaultRowHeight="15" x14ac:dyDescent="0.25"/>
  <cols>
    <col min="1" max="1" width="19.140625" bestFit="1" customWidth="1"/>
    <col min="2" max="3" width="8.5703125" bestFit="1" customWidth="1"/>
    <col min="4" max="4" width="9.140625" bestFit="1" customWidth="1"/>
    <col min="5" max="5" width="7.5703125" bestFit="1" customWidth="1"/>
    <col min="6" max="6" width="8.5703125" bestFit="1" customWidth="1"/>
    <col min="7" max="7" width="8.42578125" bestFit="1" customWidth="1"/>
    <col min="8" max="8" width="4.7109375" bestFit="1" customWidth="1"/>
    <col min="9" max="9" width="8.85546875" bestFit="1" customWidth="1"/>
    <col min="10" max="10" width="8.5703125" bestFit="1" customWidth="1"/>
    <col min="11" max="11" width="8.42578125" bestFit="1" customWidth="1"/>
    <col min="12" max="12" width="7.85546875" bestFit="1" customWidth="1"/>
  </cols>
  <sheetData>
    <row r="1" spans="1:4" s="5" customFormat="1" ht="45" x14ac:dyDescent="0.25">
      <c r="A1" s="56" t="s">
        <v>19</v>
      </c>
      <c r="B1" s="57" t="s">
        <v>21</v>
      </c>
      <c r="C1" s="57" t="s">
        <v>22</v>
      </c>
      <c r="D1" s="57" t="s">
        <v>18</v>
      </c>
    </row>
    <row r="2" spans="1:4" x14ac:dyDescent="0.25">
      <c r="A2" s="49" t="s">
        <v>11</v>
      </c>
      <c r="B2" s="27">
        <v>1074</v>
      </c>
      <c r="C2" s="26"/>
      <c r="D2" s="26">
        <v>33886.99</v>
      </c>
    </row>
    <row r="3" spans="1:4" x14ac:dyDescent="0.25">
      <c r="A3" s="54" t="s">
        <v>47</v>
      </c>
      <c r="B3" s="27"/>
      <c r="C3" s="26">
        <v>65</v>
      </c>
      <c r="D3" s="26">
        <v>33951.99</v>
      </c>
    </row>
    <row r="4" spans="1:4" x14ac:dyDescent="0.25">
      <c r="A4" s="49" t="s">
        <v>62</v>
      </c>
      <c r="B4" s="27">
        <v>470</v>
      </c>
      <c r="C4" s="26"/>
      <c r="D4" s="26">
        <v>33385.99</v>
      </c>
    </row>
    <row r="5" spans="1:4" x14ac:dyDescent="0.25">
      <c r="A5" s="49" t="s">
        <v>63</v>
      </c>
      <c r="B5" s="27">
        <v>6200</v>
      </c>
      <c r="C5" s="26"/>
      <c r="D5" s="26">
        <v>27185.99</v>
      </c>
    </row>
    <row r="6" spans="1:4" x14ac:dyDescent="0.25">
      <c r="A6" s="49" t="s">
        <v>64</v>
      </c>
      <c r="B6" s="27">
        <v>5000</v>
      </c>
      <c r="C6" s="26"/>
      <c r="D6" s="26">
        <v>22185.99</v>
      </c>
    </row>
    <row r="7" spans="1:4" x14ac:dyDescent="0.25">
      <c r="A7" s="55" t="s">
        <v>71</v>
      </c>
      <c r="B7" s="27"/>
      <c r="C7" s="26">
        <v>87.41</v>
      </c>
      <c r="D7" s="26">
        <v>22273.4</v>
      </c>
    </row>
    <row r="8" spans="1:4" x14ac:dyDescent="0.25">
      <c r="A8" s="55" t="s">
        <v>71</v>
      </c>
      <c r="C8" s="27">
        <v>10000</v>
      </c>
      <c r="D8" s="26">
        <v>22103.4</v>
      </c>
    </row>
    <row r="9" spans="1:4" x14ac:dyDescent="0.25">
      <c r="A9" s="54" t="s">
        <v>20</v>
      </c>
      <c r="B9" s="26"/>
      <c r="C9" s="26">
        <v>15</v>
      </c>
      <c r="D9" s="9">
        <v>13497.6</v>
      </c>
    </row>
    <row r="10" spans="1:4" x14ac:dyDescent="0.25">
      <c r="A10" s="49" t="s">
        <v>64</v>
      </c>
      <c r="B10" s="26">
        <v>271</v>
      </c>
      <c r="C10" s="26"/>
      <c r="D10" s="9">
        <v>13226.6</v>
      </c>
    </row>
    <row r="11" spans="1:4" x14ac:dyDescent="0.25">
      <c r="A11" s="49" t="s">
        <v>65</v>
      </c>
      <c r="B11" s="26">
        <v>76</v>
      </c>
      <c r="C11" s="26"/>
      <c r="D11" s="9">
        <v>13150.6</v>
      </c>
    </row>
    <row r="12" spans="1:4" x14ac:dyDescent="0.25">
      <c r="A12" s="54" t="s">
        <v>47</v>
      </c>
      <c r="B12" s="26"/>
      <c r="C12" s="26">
        <v>76</v>
      </c>
      <c r="D12" s="9">
        <v>13226.6</v>
      </c>
    </row>
    <row r="13" spans="1:4" x14ac:dyDescent="0.25">
      <c r="A13" s="55" t="s">
        <v>71</v>
      </c>
      <c r="B13" s="26"/>
      <c r="C13" s="26">
        <v>6000</v>
      </c>
      <c r="D13" s="9">
        <v>19226.599999999999</v>
      </c>
    </row>
  </sheetData>
  <autoFilter ref="A1:D1" xr:uid="{1E845D96-B310-4E81-8A84-AB9001CED21F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A91EBA-2DF6-44EA-9E58-9CA538D4C6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Expendo</vt:lpstr>
      <vt:lpstr>Income</vt:lpstr>
      <vt:lpstr>Tally</vt:lpstr>
      <vt:lpstr>ExpendoMONTHLY</vt:lpstr>
      <vt:lpstr>IncomeMONTHLY</vt:lpstr>
      <vt:lpstr>1jan</vt:lpstr>
      <vt:lpstr>2feb</vt:lpstr>
      <vt:lpstr>3mar</vt:lpstr>
      <vt:lpstr>4apr</vt:lpstr>
      <vt:lpstr>5may</vt:lpstr>
      <vt:lpstr>6jun</vt:lpstr>
      <vt:lpstr>7jul</vt:lpstr>
      <vt:lpstr>8aug</vt:lpstr>
      <vt:lpstr>9sep</vt:lpstr>
      <vt:lpstr>10oct</vt:lpstr>
      <vt:lpstr>11nov</vt:lpstr>
      <vt:lpstr>12dec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harshini</dc:creator>
  <cp:lastModifiedBy>harshini</cp:lastModifiedBy>
  <dcterms:created xsi:type="dcterms:W3CDTF">2023-02-15T03:42:39Z</dcterms:created>
  <dcterms:modified xsi:type="dcterms:W3CDTF">2024-10-08T05:15:03Z</dcterms:modified>
</cp:coreProperties>
</file>